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WBS_Schedule" sheetId="2" state="visible" r:id="rId4"/>
    <sheet name="Budget_Tracker" sheetId="3" state="visible" r:id="rId5"/>
    <sheet name="RACI_Matrix" sheetId="4" state="visible" r:id="rId6"/>
    <sheet name="Stakeholder_Register" sheetId="5" state="visible" r:id="rId7"/>
    <sheet name="Risk_Register" sheetId="6" state="visible" r:id="rId8"/>
    <sheet name="Issue_Change_Log" sheetId="7" state="visible" r:id="rId9"/>
    <sheet name="Vendor_Contractor_Regis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<sst xmlns="http://schemas.openxmlformats.org/spreadsheetml/2006/main" count="392" uniqueCount="236">
  <si>
    <t xml:space="preserve">IT Center Data Center &amp; NOC Build-Out — PM Tracking Workbook</t>
  </si>
  <si>
    <t xml:space="preserve">Metro Detroit Airport — IT Center</t>
  </si>
  <si>
    <t xml:space="preserve">Metro Detroit Airport IT Center — Construction/Infrastructure project. Illustrative, self-directed portfolio scenario (see Charter document for full context); not a record of an actual Authority engagement.</t>
  </si>
  <si>
    <t xml:space="preserve">Pairs with 01_Charter_Comms_Commissioning_Plan.docx and 03_Status_and_Closeout_Report.docx in this folder.</t>
  </si>
  <si>
    <t xml:space="preserve">Formula cells (Budget Tracker variance/%, Risk Register score, TOTAL row) recalculate automatically — do not overtype them.</t>
  </si>
  <si>
    <t xml:space="preserve">Color key:</t>
  </si>
  <si>
    <t xml:space="preserve">    Yellow fill = example row showing expected format — replace/delete before use</t>
  </si>
  <si>
    <t xml:space="preserve">    Light blue fill = alternating row shading (no action needed)</t>
  </si>
  <si>
    <t xml:space="preserve">    Navy header row = column titles (do not edit)</t>
  </si>
  <si>
    <t xml:space="preserve">Work Breakdown Structure &amp; Schedule</t>
  </si>
  <si>
    <t xml:space="preserve">Phase</t>
  </si>
  <si>
    <t xml:space="preserve">WBS ID</t>
  </si>
  <si>
    <t xml:space="preserve">Task / Deliverable</t>
  </si>
  <si>
    <t xml:space="preserve">Owner</t>
  </si>
  <si>
    <t xml:space="preserve">Start Date</t>
  </si>
  <si>
    <t xml:space="preserve">End Date</t>
  </si>
  <si>
    <t xml:space="preserve">Duration (days)</t>
  </si>
  <si>
    <t xml:space="preserve">% Complete</t>
  </si>
  <si>
    <t xml:space="preserve">Status</t>
  </si>
  <si>
    <t xml:space="preserve">Predecessor</t>
  </si>
  <si>
    <t xml:space="preserve">Design &amp; Permitting</t>
  </si>
  <si>
    <t xml:space="preserve">1.0</t>
  </si>
  <si>
    <t xml:space="preserve">Schematic &amp; design development</t>
  </si>
  <si>
    <t xml:space="preserve">MEP Engineer of Record</t>
  </si>
  <si>
    <t xml:space="preserve">Month 1</t>
  </si>
  <si>
    <t xml:space="preserve">Month 3</t>
  </si>
  <si>
    <t xml:space="preserve">100%</t>
  </si>
  <si>
    <t xml:space="preserve">Complete</t>
  </si>
  <si>
    <t xml:space="preserve">-</t>
  </si>
  <si>
    <t xml:space="preserve">1.1</t>
  </si>
  <si>
    <t xml:space="preserve">Permit submission &amp; AHJ approval</t>
  </si>
  <si>
    <t xml:space="preserve">PM</t>
  </si>
  <si>
    <t xml:space="preserve">Month 2</t>
  </si>
  <si>
    <t xml:space="preserve">Sitework &amp; Foundation</t>
  </si>
  <si>
    <t xml:space="preserve">2.0</t>
  </si>
  <si>
    <t xml:space="preserve">Sitework, excavation, foundation pour</t>
  </si>
  <si>
    <t xml:space="preserve">General Contractor</t>
  </si>
  <si>
    <t xml:space="preserve">Month 5</t>
  </si>
  <si>
    <t xml:space="preserve">Structural &amp; Shell</t>
  </si>
  <si>
    <t xml:space="preserve">3.0</t>
  </si>
  <si>
    <t xml:space="preserve">Structural steel, envelope, roof dry-in</t>
  </si>
  <si>
    <t xml:space="preserve">Month 7</t>
  </si>
  <si>
    <t xml:space="preserve">MEP Rough-In</t>
  </si>
  <si>
    <t xml:space="preserve">4.0</t>
  </si>
  <si>
    <t xml:space="preserve">Electrical rough-in (power, UPS, generator)</t>
  </si>
  <si>
    <t xml:space="preserve">Electrical Subcontractor</t>
  </si>
  <si>
    <t xml:space="preserve">Month 9</t>
  </si>
  <si>
    <t xml:space="preserve">80%</t>
  </si>
  <si>
    <t xml:space="preserve">In Progress</t>
  </si>
  <si>
    <t xml:space="preserve">4.1</t>
  </si>
  <si>
    <t xml:space="preserve">Mechanical rough-in (cooling, containment)</t>
  </si>
  <si>
    <t xml:space="preserve">Mechanical Subcontractor</t>
  </si>
  <si>
    <t xml:space="preserve">65%</t>
  </si>
  <si>
    <t xml:space="preserve">4.2</t>
  </si>
  <si>
    <t xml:space="preserve">Fire suppression rough-in</t>
  </si>
  <si>
    <t xml:space="preserve">Fire Protection Subcontractor</t>
  </si>
  <si>
    <t xml:space="preserve">Month 8</t>
  </si>
  <si>
    <t xml:space="preserve">90%</t>
  </si>
  <si>
    <t xml:space="preserve">Finishes &amp; Security</t>
  </si>
  <si>
    <t xml:space="preserve">5.0</t>
  </si>
  <si>
    <t xml:space="preserve">Raised floor, cable tray, finishes</t>
  </si>
  <si>
    <t xml:space="preserve">Month 11</t>
  </si>
  <si>
    <t xml:space="preserve">0%</t>
  </si>
  <si>
    <t xml:space="preserve">Not Started</t>
  </si>
  <si>
    <t xml:space="preserve">5.1</t>
  </si>
  <si>
    <t xml:space="preserve">Badge access, mantrap, CCTV install</t>
  </si>
  <si>
    <t xml:space="preserve">Security Systems Integrator</t>
  </si>
  <si>
    <t xml:space="preserve">Month 10</t>
  </si>
  <si>
    <t xml:space="preserve">Commissioning</t>
  </si>
  <si>
    <t xml:space="preserve">6.0</t>
  </si>
  <si>
    <t xml:space="preserve">Level 1-2 Cx (startup, functional test)</t>
  </si>
  <si>
    <t xml:space="preserve">Commissioning Agent</t>
  </si>
  <si>
    <t xml:space="preserve">Month 12</t>
  </si>
  <si>
    <t xml:space="preserve">Month 13</t>
  </si>
  <si>
    <t xml:space="preserve">6.1</t>
  </si>
  <si>
    <t xml:space="preserve">Level 3-4 Cx (integrated systems test)</t>
  </si>
  <si>
    <t xml:space="preserve">Handover</t>
  </si>
  <si>
    <t xml:space="preserve">7.0</t>
  </si>
  <si>
    <t xml:space="preserve">O&amp;M training, as-built turnover, Substantial Completion</t>
  </si>
  <si>
    <t xml:space="preserve">Month 14</t>
  </si>
  <si>
    <t xml:space="preserve">Budget Tracker</t>
  </si>
  <si>
    <t xml:space="preserve">Cost Category</t>
  </si>
  <si>
    <t xml:space="preserve">Budgeted ($)</t>
  </si>
  <si>
    <t xml:space="preserve">Committed ($)</t>
  </si>
  <si>
    <t xml:space="preserve">Actual to Date ($)</t>
  </si>
  <si>
    <t xml:space="preserve">Variance ($)</t>
  </si>
  <si>
    <t xml:space="preserve">% Used</t>
  </si>
  <si>
    <t xml:space="preserve">Notes</t>
  </si>
  <si>
    <t xml:space="preserve">Structural / Shell</t>
  </si>
  <si>
    <t xml:space="preserve">Electrical (Power/UPS/Generator)</t>
  </si>
  <si>
    <t xml:space="preserve">Switchgear lead time being absorbed via schedule compression</t>
  </si>
  <si>
    <t xml:space="preserve">Mechanical (Cooling)</t>
  </si>
  <si>
    <t xml:space="preserve">On track</t>
  </si>
  <si>
    <t xml:space="preserve">Fire Suppression</t>
  </si>
  <si>
    <t xml:space="preserve">Raised Floor &amp; Finishes</t>
  </si>
  <si>
    <t xml:space="preserve">Not started</t>
  </si>
  <si>
    <t xml:space="preserve">Security Systems</t>
  </si>
  <si>
    <t xml:space="preserve">Permits &amp; Fees</t>
  </si>
  <si>
    <t xml:space="preserve">Contingency</t>
  </si>
  <si>
    <t xml:space="preserve">1 approved Change Order — egress lighting, $18,200</t>
  </si>
  <si>
    <t xml:space="preserve">TOTAL</t>
  </si>
  <si>
    <t xml:space="preserve">RACI Matrix  (R = Responsible · A = Accountable · C = Consulted · I = Informed)</t>
  </si>
  <si>
    <t xml:space="preserve">Facilities Sponsor</t>
  </si>
  <si>
    <t xml:space="preserve">MEP Engineer</t>
  </si>
  <si>
    <t xml:space="preserve">IT Ops (Receiving)</t>
  </si>
  <si>
    <t xml:space="preserve">Security/Badging</t>
  </si>
  <si>
    <t xml:space="preserve">Design Development approval</t>
  </si>
  <si>
    <t xml:space="preserve">A</t>
  </si>
  <si>
    <t xml:space="preserve">C</t>
  </si>
  <si>
    <t xml:space="preserve">R</t>
  </si>
  <si>
    <t xml:space="preserve">I</t>
  </si>
  <si>
    <t xml:space="preserve">Permitting &amp; AHJ submission</t>
  </si>
  <si>
    <t xml:space="preserve">Sitework / foundation / shell</t>
  </si>
  <si>
    <t xml:space="preserve">MEP rough-in</t>
  </si>
  <si>
    <t xml:space="preserve">Badge access / security systems install</t>
  </si>
  <si>
    <t xml:space="preserve">Commissioning (Levels 1-4)</t>
  </si>
  <si>
    <t xml:space="preserve">Substantial Completion sign-off</t>
  </si>
  <si>
    <t xml:space="preserve">Stakeholder Register</t>
  </si>
  <si>
    <t xml:space="preserve">Name / Role</t>
  </si>
  <si>
    <t xml:space="preserve">Organization</t>
  </si>
  <si>
    <t xml:space="preserve">Interest</t>
  </si>
  <si>
    <t xml:space="preserve">Influence (H/M/L)</t>
  </si>
  <si>
    <t xml:space="preserve">Engagement Strategy</t>
  </si>
  <si>
    <t xml:space="preserve">Contact</t>
  </si>
  <si>
    <t xml:space="preserve">Director, Facilities &amp; Infrastructure</t>
  </si>
  <si>
    <t xml:space="preserve">Metro Detroit Airport IT Center</t>
  </si>
  <si>
    <t xml:space="preserve">Executive sponsor; capital budget owner</t>
  </si>
  <si>
    <t xml:space="preserve">H</t>
  </si>
  <si>
    <t xml:space="preserve">Monthly steering review; escalation contact</t>
  </si>
  <si>
    <t xml:space="preserve">[email/phone]</t>
  </si>
  <si>
    <t xml:space="preserve">IT Center Operations Manager</t>
  </si>
  <si>
    <t xml:space="preserve">Receiving owner; will operate the facility</t>
  </si>
  <si>
    <t xml:space="preserve">Bi-weekly coordination; leads commissioning witness</t>
  </si>
  <si>
    <t xml:space="preserve">General Contractor Project Manager</t>
  </si>
  <si>
    <t xml:space="preserve">GC firm</t>
  </si>
  <si>
    <t xml:space="preserve">Delivers construction on schedule/budget</t>
  </si>
  <si>
    <t xml:space="preserve">Weekly site meeting; RFI/submittal log</t>
  </si>
  <si>
    <t xml:space="preserve">Engineering firm</t>
  </si>
  <si>
    <t xml:space="preserve">Design authority for power/cooling/fire systems</t>
  </si>
  <si>
    <t xml:space="preserve">M</t>
  </si>
  <si>
    <t xml:space="preserve">Design reviews; rough-in inspections</t>
  </si>
  <si>
    <t xml:space="preserve">Airport Security / Badging Office</t>
  </si>
  <si>
    <t xml:space="preserve">Metro Detroit Airport</t>
  </si>
  <si>
    <t xml:space="preserve">Controls contractor site access</t>
  </si>
  <si>
    <t xml:space="preserve">Advance badge-request coordination</t>
  </si>
  <si>
    <t xml:space="preserve">Local Building Department (AHJ)</t>
  </si>
  <si>
    <t xml:space="preserve">Municipal government</t>
  </si>
  <si>
    <t xml:space="preserve">Permit approval and inspections</t>
  </si>
  <si>
    <t xml:space="preserve">Formal inspection requests; code walkthroughs</t>
  </si>
  <si>
    <t xml:space="preserve">Airport Authority Capital Committee</t>
  </si>
  <si>
    <t xml:space="preserve">Approves capital funding, monitors GMP</t>
  </si>
  <si>
    <t xml:space="preserve">Monthly capital program report</t>
  </si>
  <si>
    <t xml:space="preserve">Risk Register</t>
  </si>
  <si>
    <t xml:space="preserve">Risk ID</t>
  </si>
  <si>
    <t xml:space="preserve">Description</t>
  </si>
  <si>
    <t xml:space="preserve">Category</t>
  </si>
  <si>
    <t xml:space="preserve">Probability (1-5)</t>
  </si>
  <si>
    <t xml:space="preserve">Impact (1-5)</t>
  </si>
  <si>
    <t xml:space="preserve">Score</t>
  </si>
  <si>
    <t xml:space="preserve">Response Strategy</t>
  </si>
  <si>
    <t xml:space="preserve">R1</t>
  </si>
  <si>
    <t xml:space="preserve">Utility feeder capacity insufficient for dual-feed design</t>
  </si>
  <si>
    <t xml:space="preserve">Technical/Utility</t>
  </si>
  <si>
    <t xml:space="preserve">Confirm capacity at Design Development; secure utility commitment letter before GMP lock</t>
  </si>
  <si>
    <t xml:space="preserve">PM / MEP Engineer</t>
  </si>
  <si>
    <t xml:space="preserve">Closed</t>
  </si>
  <si>
    <t xml:space="preserve">R2</t>
  </si>
  <si>
    <t xml:space="preserve">Long-lead equipment (generator, UPS, chillers) delayed</t>
  </si>
  <si>
    <t xml:space="preserve">Procurement</t>
  </si>
  <si>
    <t xml:space="preserve">Order at Notice to Proceed; track supplier milestones monthly</t>
  </si>
  <si>
    <t xml:space="preserve">Monitoring</t>
  </si>
  <si>
    <t xml:space="preserve">R3</t>
  </si>
  <si>
    <t xml:space="preserve">Medium-voltage switchgear lead time extends 4+ weeks</t>
  </si>
  <si>
    <t xml:space="preserve">Expedite fee approved; resequence rough-in to protect Cx start</t>
  </si>
  <si>
    <t xml:space="preserve">Open</t>
  </si>
  <si>
    <t xml:space="preserve">R4</t>
  </si>
  <si>
    <t xml:space="preserve">Weather delays to sitework/foundation</t>
  </si>
  <si>
    <t xml:space="preserve">Environmental</t>
  </si>
  <si>
    <t xml:space="preserve">Schedule float built into sitework phase; monitor forecast weekly</t>
  </si>
  <si>
    <t xml:space="preserve">R5</t>
  </si>
  <si>
    <t xml:space="preserve">Unforeseen underground utilities/soil conditions</t>
  </si>
  <si>
    <t xml:space="preserve">Site</t>
  </si>
  <si>
    <t xml:space="preserve">Geotechnical survey completed pre-GMP; contingency reserved</t>
  </si>
  <si>
    <t xml:space="preserve">R6</t>
  </si>
  <si>
    <t xml:space="preserve">AHJ inspection delays or repeat re-inspections</t>
  </si>
  <si>
    <t xml:space="preserve">Regulatory</t>
  </si>
  <si>
    <t xml:space="preserve">Pre-submission code walkthrough with AHJ at 60% design</t>
  </si>
  <si>
    <t xml:space="preserve">R7</t>
  </si>
  <si>
    <t xml:space="preserve">Contractor badge/security clearance delays site access</t>
  </si>
  <si>
    <t xml:space="preserve">Security</t>
  </si>
  <si>
    <t xml:space="preserve">Submit badge requests 3 weeks ahead of trade mobilization</t>
  </si>
  <si>
    <t xml:space="preserve">PM / Security Liaison</t>
  </si>
  <si>
    <t xml:space="preserve">Issue &amp; Change Log</t>
  </si>
  <si>
    <t xml:space="preserve">ID</t>
  </si>
  <si>
    <t xml:space="preserve">Type (Issue/Change)</t>
  </si>
  <si>
    <t xml:space="preserve">Date Raised</t>
  </si>
  <si>
    <t xml:space="preserve">Priority</t>
  </si>
  <si>
    <t xml:space="preserve">Resolution / Decision</t>
  </si>
  <si>
    <t xml:space="preserve">I1</t>
  </si>
  <si>
    <t xml:space="preserve">Issue</t>
  </si>
  <si>
    <t xml:space="preserve">Switchgear supplier confirmed 4-week lead-time extension</t>
  </si>
  <si>
    <t xml:space="preserve">High</t>
  </si>
  <si>
    <t xml:space="preserve">Schedule compression plan approved; weekend shift added at GC cost within contingency</t>
  </si>
  <si>
    <t xml:space="preserve">I2</t>
  </si>
  <si>
    <t xml:space="preserve">AHJ requested additional egress-lighting detail before rough-in sign-off</t>
  </si>
  <si>
    <t xml:space="preserve">Medium</t>
  </si>
  <si>
    <t xml:space="preserve">Resolved</t>
  </si>
  <si>
    <t xml:space="preserve">Revised detail submitted and approved; re-inspection passed</t>
  </si>
  <si>
    <t xml:space="preserve">C1</t>
  </si>
  <si>
    <t xml:space="preserve">Change</t>
  </si>
  <si>
    <t xml:space="preserve">Add emergency egress lighting circuit not in original electrical design</t>
  </si>
  <si>
    <t xml:space="preserve">Approved</t>
  </si>
  <si>
    <t xml:space="preserve">Change Order #1 executed, $18,200, funded from contingency</t>
  </si>
  <si>
    <t xml:space="preserve">Vendor / Contractor Register</t>
  </si>
  <si>
    <t xml:space="preserve">Vendor / Contractor</t>
  </si>
  <si>
    <t xml:space="preserve">Scope of Work</t>
  </si>
  <si>
    <t xml:space="preserve">Contract Value ($)</t>
  </si>
  <si>
    <t xml:space="preserve">Performance Rating</t>
  </si>
  <si>
    <t xml:space="preserve">Key Contact</t>
  </si>
  <si>
    <t xml:space="preserve">[General Contractor firm]</t>
  </si>
  <si>
    <t xml:space="preserve">Design-build GC services; site supervision</t>
  </si>
  <si>
    <t xml:space="preserve">Meets expectations</t>
  </si>
  <si>
    <t xml:space="preserve">[Contact name / email]</t>
  </si>
  <si>
    <t xml:space="preserve">[Electrical Subcontractor]</t>
  </si>
  <si>
    <t xml:space="preserve">Power distribution, UPS, generator install</t>
  </si>
  <si>
    <t xml:space="preserve">Month 6</t>
  </si>
  <si>
    <t xml:space="preserve">[Mechanical Subcontractor]</t>
  </si>
  <si>
    <t xml:space="preserve">Precision cooling, chillers, containment</t>
  </si>
  <si>
    <t xml:space="preserve">[Security Systems Integrator]</t>
  </si>
  <si>
    <t xml:space="preserve">Badge access, mantrap, CCTV, monitoring</t>
  </si>
  <si>
    <t xml:space="preserve">Not yet rated</t>
  </si>
  <si>
    <t xml:space="preserve">[Commissioning Agent firm]</t>
  </si>
  <si>
    <t xml:space="preserve">Level 1-4 commissioning oversight</t>
  </si>
  <si>
    <t xml:space="preserve">[Generator/UPS equipment vendor]</t>
  </si>
  <si>
    <t xml:space="preserve">Long-lead equipment supply</t>
  </si>
  <si>
    <t xml:space="preserve">Watch — lead-time slip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</si>
</sst>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1"/>
      <color rgb="FF44546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7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10" min="9" style="0" width="12"/>
  </cols>
  <sheetData>
    <row r="1" customFormat="false" ht="21.75" hidden="false" customHeight="true" outlineLevel="0" collapsed="false">
      <c r="A1" s="8" t="s">
        <v>9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0" hidden="false" customHeight="true" outlineLevel="0" collapsed="false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</row>
    <row r="3" customFormat="false" ht="23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n">
        <v>60</v>
      </c>
      <c r="H3" s="10" t="s">
        <v>26</v>
      </c>
      <c r="I3" s="10" t="s">
        <v>27</v>
      </c>
      <c r="J3" s="10" t="s">
        <v>28</v>
      </c>
    </row>
    <row r="4" customFormat="false" ht="23.85" hidden="false" customHeight="false" outlineLevel="0" collapsed="false">
      <c r="A4" s="11" t="s">
        <v>20</v>
      </c>
      <c r="B4" s="11" t="s">
        <v>29</v>
      </c>
      <c r="C4" s="11" t="s">
        <v>30</v>
      </c>
      <c r="D4" s="11" t="s">
        <v>31</v>
      </c>
      <c r="E4" s="11" t="s">
        <v>32</v>
      </c>
      <c r="F4" s="11" t="s">
        <v>25</v>
      </c>
      <c r="G4" s="11" t="n">
        <v>30</v>
      </c>
      <c r="H4" s="11" t="s">
        <v>26</v>
      </c>
      <c r="I4" s="11" t="s">
        <v>27</v>
      </c>
      <c r="J4" s="11" t="s">
        <v>21</v>
      </c>
    </row>
    <row r="5" customFormat="false" ht="23.85" hidden="false" customHeight="false" outlineLevel="0" collapsed="false">
      <c r="A5" s="10" t="s">
        <v>33</v>
      </c>
      <c r="B5" s="10" t="s">
        <v>34</v>
      </c>
      <c r="C5" s="10" t="s">
        <v>35</v>
      </c>
      <c r="D5" s="10" t="s">
        <v>36</v>
      </c>
      <c r="E5" s="10" t="s">
        <v>25</v>
      </c>
      <c r="F5" s="10" t="s">
        <v>37</v>
      </c>
      <c r="G5" s="10" t="n">
        <v>55</v>
      </c>
      <c r="H5" s="10" t="s">
        <v>26</v>
      </c>
      <c r="I5" s="10" t="s">
        <v>27</v>
      </c>
      <c r="J5" s="10" t="s">
        <v>29</v>
      </c>
    </row>
    <row r="6" customFormat="false" ht="15" hidden="false" customHeight="false" outlineLevel="0" collapsed="false">
      <c r="A6" s="11" t="s">
        <v>38</v>
      </c>
      <c r="B6" s="11" t="s">
        <v>39</v>
      </c>
      <c r="C6" s="11" t="s">
        <v>40</v>
      </c>
      <c r="D6" s="11" t="s">
        <v>36</v>
      </c>
      <c r="E6" s="11" t="s">
        <v>37</v>
      </c>
      <c r="F6" s="11" t="s">
        <v>41</v>
      </c>
      <c r="G6" s="11" t="n">
        <v>55</v>
      </c>
      <c r="H6" s="11" t="s">
        <v>26</v>
      </c>
      <c r="I6" s="11" t="s">
        <v>27</v>
      </c>
      <c r="J6" s="11" t="s">
        <v>34</v>
      </c>
    </row>
    <row r="7" customFormat="false" ht="23.85" hidden="false" customHeight="false" outlineLevel="0" collapsed="false">
      <c r="A7" s="10" t="s">
        <v>42</v>
      </c>
      <c r="B7" s="10" t="s">
        <v>43</v>
      </c>
      <c r="C7" s="10" t="s">
        <v>44</v>
      </c>
      <c r="D7" s="10" t="s">
        <v>45</v>
      </c>
      <c r="E7" s="10" t="s">
        <v>41</v>
      </c>
      <c r="F7" s="10" t="s">
        <v>46</v>
      </c>
      <c r="G7" s="10" t="n">
        <v>60</v>
      </c>
      <c r="H7" s="10" t="s">
        <v>47</v>
      </c>
      <c r="I7" s="10" t="s">
        <v>48</v>
      </c>
      <c r="J7" s="10" t="s">
        <v>39</v>
      </c>
    </row>
    <row r="8" customFormat="false" ht="23.85" hidden="false" customHeight="false" outlineLevel="0" collapsed="false">
      <c r="A8" s="11" t="s">
        <v>42</v>
      </c>
      <c r="B8" s="11" t="s">
        <v>49</v>
      </c>
      <c r="C8" s="11" t="s">
        <v>50</v>
      </c>
      <c r="D8" s="11" t="s">
        <v>51</v>
      </c>
      <c r="E8" s="11" t="s">
        <v>41</v>
      </c>
      <c r="F8" s="11" t="s">
        <v>46</v>
      </c>
      <c r="G8" s="11" t="n">
        <v>60</v>
      </c>
      <c r="H8" s="11" t="s">
        <v>52</v>
      </c>
      <c r="I8" s="11" t="s">
        <v>48</v>
      </c>
      <c r="J8" s="11" t="s">
        <v>39</v>
      </c>
    </row>
    <row r="9" customFormat="false" ht="23.85" hidden="false" customHeight="false" outlineLevel="0" collapsed="false">
      <c r="A9" s="10" t="s">
        <v>42</v>
      </c>
      <c r="B9" s="10" t="s">
        <v>53</v>
      </c>
      <c r="C9" s="10" t="s">
        <v>54</v>
      </c>
      <c r="D9" s="10" t="s">
        <v>55</v>
      </c>
      <c r="E9" s="10" t="s">
        <v>56</v>
      </c>
      <c r="F9" s="10" t="s">
        <v>46</v>
      </c>
      <c r="G9" s="10" t="n">
        <v>30</v>
      </c>
      <c r="H9" s="10" t="s">
        <v>57</v>
      </c>
      <c r="I9" s="10" t="s">
        <v>48</v>
      </c>
      <c r="J9" s="10" t="s">
        <v>39</v>
      </c>
    </row>
    <row r="10" customFormat="false" ht="15" hidden="false" customHeight="false" outlineLevel="0" collapsed="false">
      <c r="A10" s="11" t="s">
        <v>58</v>
      </c>
      <c r="B10" s="11" t="s">
        <v>59</v>
      </c>
      <c r="C10" s="11" t="s">
        <v>60</v>
      </c>
      <c r="D10" s="11" t="s">
        <v>36</v>
      </c>
      <c r="E10" s="11" t="s">
        <v>46</v>
      </c>
      <c r="F10" s="11" t="s">
        <v>61</v>
      </c>
      <c r="G10" s="11" t="n">
        <v>60</v>
      </c>
      <c r="H10" s="11" t="s">
        <v>62</v>
      </c>
      <c r="I10" s="11" t="s">
        <v>63</v>
      </c>
      <c r="J10" s="11" t="s">
        <v>43</v>
      </c>
    </row>
    <row r="11" customFormat="false" ht="23.85" hidden="false" customHeight="false" outlineLevel="0" collapsed="false">
      <c r="A11" s="10" t="s">
        <v>58</v>
      </c>
      <c r="B11" s="10" t="s">
        <v>64</v>
      </c>
      <c r="C11" s="10" t="s">
        <v>65</v>
      </c>
      <c r="D11" s="10" t="s">
        <v>66</v>
      </c>
      <c r="E11" s="10" t="s">
        <v>67</v>
      </c>
      <c r="F11" s="10" t="s">
        <v>61</v>
      </c>
      <c r="G11" s="10" t="n">
        <v>30</v>
      </c>
      <c r="H11" s="10" t="s">
        <v>62</v>
      </c>
      <c r="I11" s="10" t="s">
        <v>63</v>
      </c>
      <c r="J11" s="10" t="s">
        <v>59</v>
      </c>
    </row>
    <row r="12" customFormat="false" ht="23.85" hidden="false" customHeight="false" outlineLevel="0" collapsed="false">
      <c r="A12" s="11" t="s">
        <v>68</v>
      </c>
      <c r="B12" s="11" t="s">
        <v>69</v>
      </c>
      <c r="C12" s="11" t="s">
        <v>70</v>
      </c>
      <c r="D12" s="11" t="s">
        <v>71</v>
      </c>
      <c r="E12" s="11" t="s">
        <v>72</v>
      </c>
      <c r="F12" s="11" t="s">
        <v>73</v>
      </c>
      <c r="G12" s="11" t="n">
        <v>30</v>
      </c>
      <c r="H12" s="11" t="s">
        <v>62</v>
      </c>
      <c r="I12" s="11" t="s">
        <v>63</v>
      </c>
      <c r="J12" s="11" t="s">
        <v>64</v>
      </c>
    </row>
    <row r="13" customFormat="false" ht="23.85" hidden="false" customHeight="false" outlineLevel="0" collapsed="false">
      <c r="A13" s="10" t="s">
        <v>68</v>
      </c>
      <c r="B13" s="10" t="s">
        <v>74</v>
      </c>
      <c r="C13" s="10" t="s">
        <v>75</v>
      </c>
      <c r="D13" s="10" t="s">
        <v>71</v>
      </c>
      <c r="E13" s="10" t="s">
        <v>73</v>
      </c>
      <c r="F13" s="10" t="s">
        <v>73</v>
      </c>
      <c r="G13" s="10" t="n">
        <v>15</v>
      </c>
      <c r="H13" s="10" t="s">
        <v>62</v>
      </c>
      <c r="I13" s="10" t="s">
        <v>63</v>
      </c>
      <c r="J13" s="10" t="s">
        <v>69</v>
      </c>
    </row>
    <row r="14" customFormat="false" ht="23.85" hidden="false" customHeight="false" outlineLevel="0" collapsed="false">
      <c r="A14" s="11" t="s">
        <v>76</v>
      </c>
      <c r="B14" s="11" t="s">
        <v>77</v>
      </c>
      <c r="C14" s="11" t="s">
        <v>78</v>
      </c>
      <c r="D14" s="11" t="s">
        <v>31</v>
      </c>
      <c r="E14" s="11" t="s">
        <v>79</v>
      </c>
      <c r="F14" s="11" t="s">
        <v>79</v>
      </c>
      <c r="G14" s="11" t="n">
        <v>15</v>
      </c>
      <c r="H14" s="11" t="s">
        <v>62</v>
      </c>
      <c r="I14" s="11" t="s">
        <v>63</v>
      </c>
      <c r="J14" s="11" t="s">
        <v>74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8" t="s">
        <v>80</v>
      </c>
      <c r="B1" s="8"/>
      <c r="C1" s="8"/>
      <c r="D1" s="8"/>
      <c r="E1" s="8"/>
      <c r="F1" s="8"/>
      <c r="G1" s="8"/>
    </row>
    <row r="2" customFormat="false" ht="30" hidden="false" customHeight="true" outlineLevel="0" collapsed="false">
      <c r="A2" s="9" t="s">
        <v>81</v>
      </c>
      <c r="B2" s="9" t="s">
        <v>82</v>
      </c>
      <c r="C2" s="9" t="s">
        <v>83</v>
      </c>
      <c r="D2" s="9" t="s">
        <v>84</v>
      </c>
      <c r="E2" s="9" t="s">
        <v>85</v>
      </c>
      <c r="F2" s="9" t="s">
        <v>86</v>
      </c>
      <c r="G2" s="9" t="s">
        <v>87</v>
      </c>
    </row>
    <row r="3" customFormat="false" ht="15" hidden="false" customHeight="false" outlineLevel="0" collapsed="false">
      <c r="A3" s="10" t="s">
        <v>33</v>
      </c>
      <c r="B3" s="12" t="n">
        <v>650000</v>
      </c>
      <c r="C3" s="12" t="n">
        <v>650000</v>
      </c>
      <c r="D3" s="12" t="n">
        <v>645000</v>
      </c>
      <c r="E3" s="12" t="n">
        <f aca="false">D3-B3</f>
        <v>-5000</v>
      </c>
      <c r="F3" s="13" t="n">
        <f aca="false">IFERROR(D3/B3,0)</f>
        <v>0.992307692307692</v>
      </c>
      <c r="G3" s="10" t="s">
        <v>27</v>
      </c>
    </row>
    <row r="4" customFormat="false" ht="15" hidden="false" customHeight="false" outlineLevel="0" collapsed="false">
      <c r="A4" s="11" t="s">
        <v>88</v>
      </c>
      <c r="B4" s="14" t="n">
        <v>850000</v>
      </c>
      <c r="C4" s="14" t="n">
        <v>850000</v>
      </c>
      <c r="D4" s="14" t="n">
        <v>838000</v>
      </c>
      <c r="E4" s="14" t="n">
        <f aca="false">D4-B4</f>
        <v>-12000</v>
      </c>
      <c r="F4" s="15" t="n">
        <f aca="false">IFERROR(D4/B4,0)</f>
        <v>0.985882352941176</v>
      </c>
      <c r="G4" s="11" t="s">
        <v>27</v>
      </c>
    </row>
    <row r="5" customFormat="false" ht="23.85" hidden="false" customHeight="false" outlineLevel="0" collapsed="false">
      <c r="A5" s="10" t="s">
        <v>89</v>
      </c>
      <c r="B5" s="12" t="n">
        <v>1000000</v>
      </c>
      <c r="C5" s="12" t="n">
        <v>903000</v>
      </c>
      <c r="D5" s="12" t="n">
        <v>810000</v>
      </c>
      <c r="E5" s="12" t="n">
        <f aca="false">D5-B5</f>
        <v>-190000</v>
      </c>
      <c r="F5" s="13" t="n">
        <f aca="false">IFERROR(D5/B5,0)</f>
        <v>0.81</v>
      </c>
      <c r="G5" s="10" t="s">
        <v>90</v>
      </c>
    </row>
    <row r="6" customFormat="false" ht="15" hidden="false" customHeight="false" outlineLevel="0" collapsed="false">
      <c r="A6" s="11" t="s">
        <v>91</v>
      </c>
      <c r="B6" s="14" t="n">
        <v>780000</v>
      </c>
      <c r="C6" s="14" t="n">
        <v>573000</v>
      </c>
      <c r="D6" s="14" t="n">
        <v>507000</v>
      </c>
      <c r="E6" s="14" t="n">
        <f aca="false">D6-B6</f>
        <v>-273000</v>
      </c>
      <c r="F6" s="15" t="n">
        <f aca="false">IFERROR(D6/B6,0)</f>
        <v>0.65</v>
      </c>
      <c r="G6" s="11" t="s">
        <v>92</v>
      </c>
    </row>
    <row r="7" customFormat="false" ht="15" hidden="false" customHeight="false" outlineLevel="0" collapsed="false">
      <c r="A7" s="10" t="s">
        <v>93</v>
      </c>
      <c r="B7" s="12" t="n">
        <v>170000</v>
      </c>
      <c r="C7" s="12" t="n">
        <v>166000</v>
      </c>
      <c r="D7" s="12" t="n">
        <v>160000</v>
      </c>
      <c r="E7" s="12" t="n">
        <f aca="false">D7-B7</f>
        <v>-10000</v>
      </c>
      <c r="F7" s="13" t="n">
        <f aca="false">IFERROR(D7/B7,0)</f>
        <v>0.941176470588235</v>
      </c>
      <c r="G7" s="10" t="s">
        <v>27</v>
      </c>
    </row>
    <row r="8" customFormat="false" ht="15" hidden="false" customHeight="false" outlineLevel="0" collapsed="false">
      <c r="A8" s="11" t="s">
        <v>94</v>
      </c>
      <c r="B8" s="14" t="n">
        <v>210000</v>
      </c>
      <c r="C8" s="14" t="n">
        <v>0</v>
      </c>
      <c r="D8" s="14" t="n">
        <v>0</v>
      </c>
      <c r="E8" s="14" t="n">
        <f aca="false">D8-B8</f>
        <v>-210000</v>
      </c>
      <c r="F8" s="15" t="n">
        <f aca="false">IFERROR(D8/B8,0)</f>
        <v>0</v>
      </c>
      <c r="G8" s="11" t="s">
        <v>95</v>
      </c>
    </row>
    <row r="9" customFormat="false" ht="15" hidden="false" customHeight="false" outlineLevel="0" collapsed="false">
      <c r="A9" s="10" t="s">
        <v>96</v>
      </c>
      <c r="B9" s="12" t="n">
        <v>150000</v>
      </c>
      <c r="C9" s="12" t="n">
        <v>0</v>
      </c>
      <c r="D9" s="12" t="n">
        <v>0</v>
      </c>
      <c r="E9" s="12" t="n">
        <f aca="false">D9-B9</f>
        <v>-150000</v>
      </c>
      <c r="F9" s="13" t="n">
        <f aca="false">IFERROR(D9/B9,0)</f>
        <v>0</v>
      </c>
      <c r="G9" s="10" t="s">
        <v>95</v>
      </c>
    </row>
    <row r="10" customFormat="false" ht="15" hidden="false" customHeight="false" outlineLevel="0" collapsed="false">
      <c r="A10" s="11" t="s">
        <v>97</v>
      </c>
      <c r="B10" s="14" t="n">
        <v>50000</v>
      </c>
      <c r="C10" s="14" t="n">
        <v>50000</v>
      </c>
      <c r="D10" s="14" t="n">
        <v>48000</v>
      </c>
      <c r="E10" s="14" t="n">
        <f aca="false">D10-B10</f>
        <v>-2000</v>
      </c>
      <c r="F10" s="15" t="n">
        <f aca="false">IFERROR(D10/B10,0)</f>
        <v>0.96</v>
      </c>
      <c r="G10" s="11" t="s">
        <v>27</v>
      </c>
    </row>
    <row r="11" customFormat="false" ht="15" hidden="false" customHeight="false" outlineLevel="0" collapsed="false">
      <c r="A11" s="10" t="s">
        <v>68</v>
      </c>
      <c r="B11" s="12" t="n">
        <v>50000</v>
      </c>
      <c r="C11" s="12" t="n">
        <v>0</v>
      </c>
      <c r="D11" s="12" t="n">
        <v>0</v>
      </c>
      <c r="E11" s="12" t="n">
        <f aca="false">D11-B11</f>
        <v>-50000</v>
      </c>
      <c r="F11" s="13" t="n">
        <f aca="false">IFERROR(D11/B11,0)</f>
        <v>0</v>
      </c>
      <c r="G11" s="10" t="s">
        <v>95</v>
      </c>
    </row>
    <row r="12" customFormat="false" ht="23.85" hidden="false" customHeight="false" outlineLevel="0" collapsed="false">
      <c r="A12" s="11" t="s">
        <v>98</v>
      </c>
      <c r="B12" s="14" t="n">
        <v>340000</v>
      </c>
      <c r="C12" s="14" t="n">
        <v>61000</v>
      </c>
      <c r="D12" s="14" t="n">
        <v>61000</v>
      </c>
      <c r="E12" s="14" t="n">
        <f aca="false">D12-B12</f>
        <v>-279000</v>
      </c>
      <c r="F12" s="15" t="n">
        <f aca="false">IFERROR(D12/B12,0)</f>
        <v>0.179411764705882</v>
      </c>
      <c r="G12" s="11" t="s">
        <v>99</v>
      </c>
    </row>
    <row r="13" customFormat="false" ht="15" hidden="false" customHeight="false" outlineLevel="0" collapsed="false">
      <c r="A13" s="16" t="s">
        <v>100</v>
      </c>
      <c r="B13" s="17" t="n">
        <f aca="false">SUM(B3:B12)</f>
        <v>4250000</v>
      </c>
      <c r="C13" s="17" t="n">
        <f aca="false">SUM(C3:C12)</f>
        <v>3253000</v>
      </c>
      <c r="D13" s="17" t="n">
        <f aca="false">SUM(D3:D12)</f>
        <v>3069000</v>
      </c>
      <c r="E13" s="17" t="n">
        <f aca="false">D13-B13</f>
        <v>-1181000</v>
      </c>
      <c r="F13" s="18" t="n">
        <f aca="false">IFERROR(D13/B13,0)</f>
        <v>0.722117647058824</v>
      </c>
      <c r="G13" s="1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4"/>
  </cols>
  <sheetData>
    <row r="1" customFormat="false" ht="21.75" hidden="false" customHeight="true" outlineLevel="0" collapsed="false">
      <c r="A1" s="8" t="s">
        <v>101</v>
      </c>
      <c r="B1" s="8"/>
      <c r="C1" s="8"/>
      <c r="D1" s="8"/>
      <c r="E1" s="8"/>
      <c r="F1" s="8"/>
      <c r="G1" s="8"/>
    </row>
    <row r="2" customFormat="false" ht="30" hidden="false" customHeight="true" outlineLevel="0" collapsed="false">
      <c r="A2" s="9" t="s">
        <v>12</v>
      </c>
      <c r="B2" s="9" t="s">
        <v>31</v>
      </c>
      <c r="C2" s="9" t="s">
        <v>102</v>
      </c>
      <c r="D2" s="9" t="s">
        <v>36</v>
      </c>
      <c r="E2" s="9" t="s">
        <v>103</v>
      </c>
      <c r="F2" s="9" t="s">
        <v>104</v>
      </c>
      <c r="G2" s="9" t="s">
        <v>105</v>
      </c>
    </row>
    <row r="3" customFormat="false" ht="15" hidden="false" customHeight="false" outlineLevel="0" collapsed="false">
      <c r="A3" s="10" t="s">
        <v>106</v>
      </c>
      <c r="B3" s="10" t="s">
        <v>107</v>
      </c>
      <c r="C3" s="10" t="s">
        <v>107</v>
      </c>
      <c r="D3" s="10" t="s">
        <v>108</v>
      </c>
      <c r="E3" s="10" t="s">
        <v>109</v>
      </c>
      <c r="F3" s="10" t="s">
        <v>108</v>
      </c>
      <c r="G3" s="10" t="s">
        <v>110</v>
      </c>
    </row>
    <row r="4" customFormat="false" ht="15" hidden="false" customHeight="false" outlineLevel="0" collapsed="false">
      <c r="A4" s="11" t="s">
        <v>111</v>
      </c>
      <c r="B4" s="11" t="s">
        <v>107</v>
      </c>
      <c r="C4" s="11" t="s">
        <v>110</v>
      </c>
      <c r="D4" s="11" t="s">
        <v>109</v>
      </c>
      <c r="E4" s="11" t="s">
        <v>108</v>
      </c>
      <c r="F4" s="11" t="s">
        <v>110</v>
      </c>
      <c r="G4" s="11" t="s">
        <v>110</v>
      </c>
    </row>
    <row r="5" customFormat="false" ht="15" hidden="false" customHeight="false" outlineLevel="0" collapsed="false">
      <c r="A5" s="10" t="s">
        <v>112</v>
      </c>
      <c r="B5" s="10" t="s">
        <v>107</v>
      </c>
      <c r="C5" s="10" t="s">
        <v>110</v>
      </c>
      <c r="D5" s="10" t="s">
        <v>109</v>
      </c>
      <c r="E5" s="10" t="s">
        <v>108</v>
      </c>
      <c r="F5" s="10" t="s">
        <v>110</v>
      </c>
      <c r="G5" s="10" t="s">
        <v>110</v>
      </c>
    </row>
    <row r="6" customFormat="false" ht="15" hidden="false" customHeight="false" outlineLevel="0" collapsed="false">
      <c r="A6" s="11" t="s">
        <v>113</v>
      </c>
      <c r="B6" s="11" t="s">
        <v>107</v>
      </c>
      <c r="C6" s="11" t="s">
        <v>110</v>
      </c>
      <c r="D6" s="11" t="s">
        <v>109</v>
      </c>
      <c r="E6" s="11" t="s">
        <v>109</v>
      </c>
      <c r="F6" s="11" t="s">
        <v>108</v>
      </c>
      <c r="G6" s="11" t="s">
        <v>110</v>
      </c>
    </row>
    <row r="7" customFormat="false" ht="15" hidden="false" customHeight="false" outlineLevel="0" collapsed="false">
      <c r="A7" s="10" t="s">
        <v>114</v>
      </c>
      <c r="B7" s="10" t="s">
        <v>107</v>
      </c>
      <c r="C7" s="10" t="s">
        <v>108</v>
      </c>
      <c r="D7" s="10" t="s">
        <v>108</v>
      </c>
      <c r="E7" s="10" t="s">
        <v>110</v>
      </c>
      <c r="F7" s="10" t="s">
        <v>108</v>
      </c>
      <c r="G7" s="10" t="s">
        <v>109</v>
      </c>
    </row>
    <row r="8" customFormat="false" ht="15" hidden="false" customHeight="false" outlineLevel="0" collapsed="false">
      <c r="A8" s="11" t="s">
        <v>115</v>
      </c>
      <c r="B8" s="11" t="s">
        <v>107</v>
      </c>
      <c r="C8" s="11" t="s">
        <v>110</v>
      </c>
      <c r="D8" s="11" t="s">
        <v>108</v>
      </c>
      <c r="E8" s="11" t="s">
        <v>109</v>
      </c>
      <c r="F8" s="11" t="s">
        <v>108</v>
      </c>
      <c r="G8" s="11" t="s">
        <v>110</v>
      </c>
    </row>
    <row r="9" customFormat="false" ht="15" hidden="false" customHeight="false" outlineLevel="0" collapsed="false">
      <c r="A9" s="10" t="s">
        <v>116</v>
      </c>
      <c r="B9" s="10" t="s">
        <v>109</v>
      </c>
      <c r="C9" s="10" t="s">
        <v>107</v>
      </c>
      <c r="D9" s="10" t="s">
        <v>108</v>
      </c>
      <c r="E9" s="10" t="s">
        <v>108</v>
      </c>
      <c r="F9" s="10" t="s">
        <v>107</v>
      </c>
      <c r="G9" s="10" t="s">
        <v>110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32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8" t="s">
        <v>117</v>
      </c>
      <c r="B1" s="8"/>
      <c r="C1" s="8"/>
      <c r="D1" s="8"/>
      <c r="E1" s="8"/>
      <c r="F1" s="8"/>
    </row>
    <row r="2" customFormat="false" ht="30" hidden="false" customHeight="true" outlineLevel="0" collapsed="false">
      <c r="A2" s="9" t="s">
        <v>118</v>
      </c>
      <c r="B2" s="9" t="s">
        <v>119</v>
      </c>
      <c r="C2" s="9" t="s">
        <v>120</v>
      </c>
      <c r="D2" s="9" t="s">
        <v>121</v>
      </c>
      <c r="E2" s="9" t="s">
        <v>122</v>
      </c>
      <c r="F2" s="9" t="s">
        <v>123</v>
      </c>
    </row>
    <row r="3" customFormat="false" ht="23.85" hidden="false" customHeight="false" outlineLevel="0" collapsed="false">
      <c r="A3" s="10" t="s">
        <v>124</v>
      </c>
      <c r="B3" s="10" t="s">
        <v>125</v>
      </c>
      <c r="C3" s="10" t="s">
        <v>126</v>
      </c>
      <c r="D3" s="10" t="s">
        <v>127</v>
      </c>
      <c r="E3" s="10" t="s">
        <v>128</v>
      </c>
      <c r="F3" s="10" t="s">
        <v>129</v>
      </c>
    </row>
    <row r="4" customFormat="false" ht="23.85" hidden="false" customHeight="false" outlineLevel="0" collapsed="false">
      <c r="A4" s="11" t="s">
        <v>130</v>
      </c>
      <c r="B4" s="11" t="s">
        <v>125</v>
      </c>
      <c r="C4" s="11" t="s">
        <v>131</v>
      </c>
      <c r="D4" s="11" t="s">
        <v>127</v>
      </c>
      <c r="E4" s="11" t="s">
        <v>132</v>
      </c>
      <c r="F4" s="11" t="s">
        <v>129</v>
      </c>
    </row>
    <row r="5" customFormat="false" ht="23.85" hidden="false" customHeight="false" outlineLevel="0" collapsed="false">
      <c r="A5" s="10" t="s">
        <v>133</v>
      </c>
      <c r="B5" s="10" t="s">
        <v>134</v>
      </c>
      <c r="C5" s="10" t="s">
        <v>135</v>
      </c>
      <c r="D5" s="10" t="s">
        <v>127</v>
      </c>
      <c r="E5" s="10" t="s">
        <v>136</v>
      </c>
      <c r="F5" s="10" t="s">
        <v>129</v>
      </c>
    </row>
    <row r="6" customFormat="false" ht="23.85" hidden="false" customHeight="false" outlineLevel="0" collapsed="false">
      <c r="A6" s="11" t="s">
        <v>23</v>
      </c>
      <c r="B6" s="11" t="s">
        <v>137</v>
      </c>
      <c r="C6" s="11" t="s">
        <v>138</v>
      </c>
      <c r="D6" s="11" t="s">
        <v>139</v>
      </c>
      <c r="E6" s="11" t="s">
        <v>140</v>
      </c>
      <c r="F6" s="11" t="s">
        <v>129</v>
      </c>
    </row>
    <row r="7" customFormat="false" ht="23.85" hidden="false" customHeight="false" outlineLevel="0" collapsed="false">
      <c r="A7" s="10" t="s">
        <v>141</v>
      </c>
      <c r="B7" s="10" t="s">
        <v>142</v>
      </c>
      <c r="C7" s="10" t="s">
        <v>143</v>
      </c>
      <c r="D7" s="10" t="s">
        <v>139</v>
      </c>
      <c r="E7" s="10" t="s">
        <v>144</v>
      </c>
      <c r="F7" s="10" t="s">
        <v>129</v>
      </c>
    </row>
    <row r="8" customFormat="false" ht="23.85" hidden="false" customHeight="false" outlineLevel="0" collapsed="false">
      <c r="A8" s="11" t="s">
        <v>145</v>
      </c>
      <c r="B8" s="11" t="s">
        <v>146</v>
      </c>
      <c r="C8" s="11" t="s">
        <v>147</v>
      </c>
      <c r="D8" s="11" t="s">
        <v>139</v>
      </c>
      <c r="E8" s="11" t="s">
        <v>148</v>
      </c>
      <c r="F8" s="11" t="s">
        <v>129</v>
      </c>
    </row>
    <row r="9" customFormat="false" ht="23.85" hidden="false" customHeight="false" outlineLevel="0" collapsed="false">
      <c r="A9" s="10" t="s">
        <v>149</v>
      </c>
      <c r="B9" s="10" t="s">
        <v>125</v>
      </c>
      <c r="C9" s="10" t="s">
        <v>150</v>
      </c>
      <c r="D9" s="10" t="s">
        <v>127</v>
      </c>
      <c r="E9" s="10" t="s">
        <v>151</v>
      </c>
      <c r="F9" s="10" t="s">
        <v>129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8" t="s">
        <v>152</v>
      </c>
      <c r="B1" s="8"/>
      <c r="C1" s="8"/>
      <c r="D1" s="8"/>
      <c r="E1" s="8"/>
      <c r="F1" s="8"/>
      <c r="G1" s="8"/>
      <c r="H1" s="8"/>
      <c r="I1" s="8"/>
    </row>
    <row r="2" customFormat="false" ht="30" hidden="false" customHeight="true" outlineLevel="0" collapsed="false">
      <c r="A2" s="9" t="s">
        <v>153</v>
      </c>
      <c r="B2" s="9" t="s">
        <v>154</v>
      </c>
      <c r="C2" s="9" t="s">
        <v>155</v>
      </c>
      <c r="D2" s="9" t="s">
        <v>156</v>
      </c>
      <c r="E2" s="9" t="s">
        <v>157</v>
      </c>
      <c r="F2" s="9" t="s">
        <v>158</v>
      </c>
      <c r="G2" s="9" t="s">
        <v>159</v>
      </c>
      <c r="H2" s="9" t="s">
        <v>13</v>
      </c>
      <c r="I2" s="9" t="s">
        <v>18</v>
      </c>
    </row>
    <row r="3" customFormat="false" ht="35.05" hidden="false" customHeight="false" outlineLevel="0" collapsed="false">
      <c r="A3" s="10" t="s">
        <v>160</v>
      </c>
      <c r="B3" s="10" t="s">
        <v>161</v>
      </c>
      <c r="C3" s="10" t="s">
        <v>162</v>
      </c>
      <c r="D3" s="10" t="n">
        <v>2</v>
      </c>
      <c r="E3" s="10" t="n">
        <v>5</v>
      </c>
      <c r="F3" s="19" t="n">
        <f aca="false">D3*E3</f>
        <v>10</v>
      </c>
      <c r="G3" s="10" t="s">
        <v>163</v>
      </c>
      <c r="H3" s="10" t="s">
        <v>164</v>
      </c>
      <c r="I3" s="10" t="s">
        <v>165</v>
      </c>
    </row>
    <row r="4" customFormat="false" ht="23.85" hidden="false" customHeight="false" outlineLevel="0" collapsed="false">
      <c r="A4" s="11" t="s">
        <v>166</v>
      </c>
      <c r="B4" s="11" t="s">
        <v>167</v>
      </c>
      <c r="C4" s="11" t="s">
        <v>168</v>
      </c>
      <c r="D4" s="11" t="n">
        <v>3</v>
      </c>
      <c r="E4" s="11" t="n">
        <v>4</v>
      </c>
      <c r="F4" s="16" t="n">
        <f aca="false">D4*E4</f>
        <v>12</v>
      </c>
      <c r="G4" s="11" t="s">
        <v>169</v>
      </c>
      <c r="H4" s="11" t="s">
        <v>31</v>
      </c>
      <c r="I4" s="11" t="s">
        <v>170</v>
      </c>
    </row>
    <row r="5" customFormat="false" ht="23.85" hidden="false" customHeight="false" outlineLevel="0" collapsed="false">
      <c r="A5" s="10" t="s">
        <v>171</v>
      </c>
      <c r="B5" s="10" t="s">
        <v>172</v>
      </c>
      <c r="C5" s="10" t="s">
        <v>168</v>
      </c>
      <c r="D5" s="10" t="n">
        <v>4</v>
      </c>
      <c r="E5" s="10" t="n">
        <v>4</v>
      </c>
      <c r="F5" s="19" t="n">
        <f aca="false">D5*E5</f>
        <v>16</v>
      </c>
      <c r="G5" s="10" t="s">
        <v>173</v>
      </c>
      <c r="H5" s="10" t="s">
        <v>164</v>
      </c>
      <c r="I5" s="10" t="s">
        <v>174</v>
      </c>
    </row>
    <row r="6" customFormat="false" ht="23.85" hidden="false" customHeight="false" outlineLevel="0" collapsed="false">
      <c r="A6" s="11" t="s">
        <v>175</v>
      </c>
      <c r="B6" s="11" t="s">
        <v>176</v>
      </c>
      <c r="C6" s="11" t="s">
        <v>177</v>
      </c>
      <c r="D6" s="11" t="n">
        <v>3</v>
      </c>
      <c r="E6" s="11" t="n">
        <v>3</v>
      </c>
      <c r="F6" s="16" t="n">
        <f aca="false">D6*E6</f>
        <v>9</v>
      </c>
      <c r="G6" s="11" t="s">
        <v>178</v>
      </c>
      <c r="H6" s="11" t="s">
        <v>36</v>
      </c>
      <c r="I6" s="11" t="s">
        <v>165</v>
      </c>
    </row>
    <row r="7" customFormat="false" ht="23.85" hidden="false" customHeight="false" outlineLevel="0" collapsed="false">
      <c r="A7" s="10" t="s">
        <v>179</v>
      </c>
      <c r="B7" s="10" t="s">
        <v>180</v>
      </c>
      <c r="C7" s="10" t="s">
        <v>181</v>
      </c>
      <c r="D7" s="10" t="n">
        <v>2</v>
      </c>
      <c r="E7" s="10" t="n">
        <v>4</v>
      </c>
      <c r="F7" s="19" t="n">
        <f aca="false">D7*E7</f>
        <v>8</v>
      </c>
      <c r="G7" s="10" t="s">
        <v>182</v>
      </c>
      <c r="H7" s="10" t="s">
        <v>36</v>
      </c>
      <c r="I7" s="10" t="s">
        <v>165</v>
      </c>
    </row>
    <row r="8" customFormat="false" ht="23.85" hidden="false" customHeight="false" outlineLevel="0" collapsed="false">
      <c r="A8" s="11" t="s">
        <v>183</v>
      </c>
      <c r="B8" s="11" t="s">
        <v>184</v>
      </c>
      <c r="C8" s="11" t="s">
        <v>185</v>
      </c>
      <c r="D8" s="11" t="n">
        <v>3</v>
      </c>
      <c r="E8" s="11" t="n">
        <v>3</v>
      </c>
      <c r="F8" s="16" t="n">
        <f aca="false">D8*E8</f>
        <v>9</v>
      </c>
      <c r="G8" s="11" t="s">
        <v>186</v>
      </c>
      <c r="H8" s="11" t="s">
        <v>31</v>
      </c>
      <c r="I8" s="11" t="s">
        <v>170</v>
      </c>
    </row>
    <row r="9" customFormat="false" ht="23.85" hidden="false" customHeight="false" outlineLevel="0" collapsed="false">
      <c r="A9" s="10" t="s">
        <v>187</v>
      </c>
      <c r="B9" s="10" t="s">
        <v>188</v>
      </c>
      <c r="C9" s="10" t="s">
        <v>189</v>
      </c>
      <c r="D9" s="10" t="n">
        <v>2</v>
      </c>
      <c r="E9" s="10" t="n">
        <v>3</v>
      </c>
      <c r="F9" s="19" t="n">
        <f aca="false">D9*E9</f>
        <v>6</v>
      </c>
      <c r="G9" s="10" t="s">
        <v>190</v>
      </c>
      <c r="H9" s="10" t="s">
        <v>191</v>
      </c>
      <c r="I9" s="10" t="s">
        <v>170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2"/>
  </cols>
  <sheetData>
    <row r="1" customFormat="false" ht="21.75" hidden="false" customHeight="true" outlineLevel="0" collapsed="false">
      <c r="A1" s="8" t="s">
        <v>192</v>
      </c>
      <c r="B1" s="8"/>
      <c r="C1" s="8"/>
      <c r="D1" s="8"/>
      <c r="E1" s="8"/>
      <c r="F1" s="8"/>
      <c r="G1" s="8"/>
      <c r="H1" s="8"/>
    </row>
    <row r="2" customFormat="false" ht="30" hidden="false" customHeight="true" outlineLevel="0" collapsed="false">
      <c r="A2" s="9" t="s">
        <v>193</v>
      </c>
      <c r="B2" s="9" t="s">
        <v>194</v>
      </c>
      <c r="C2" s="9" t="s">
        <v>154</v>
      </c>
      <c r="D2" s="9" t="s">
        <v>195</v>
      </c>
      <c r="E2" s="9" t="s">
        <v>13</v>
      </c>
      <c r="F2" s="9" t="s">
        <v>196</v>
      </c>
      <c r="G2" s="9" t="s">
        <v>18</v>
      </c>
      <c r="H2" s="9" t="s">
        <v>197</v>
      </c>
    </row>
    <row r="3" customFormat="false" ht="35.05" hidden="false" customHeight="false" outlineLevel="0" collapsed="false">
      <c r="A3" s="10" t="s">
        <v>198</v>
      </c>
      <c r="B3" s="10" t="s">
        <v>199</v>
      </c>
      <c r="C3" s="10" t="s">
        <v>200</v>
      </c>
      <c r="D3" s="10" t="s">
        <v>56</v>
      </c>
      <c r="E3" s="10" t="s">
        <v>31</v>
      </c>
      <c r="F3" s="10" t="s">
        <v>201</v>
      </c>
      <c r="G3" s="10" t="s">
        <v>174</v>
      </c>
      <c r="H3" s="10" t="s">
        <v>202</v>
      </c>
    </row>
    <row r="4" customFormat="false" ht="23.85" hidden="false" customHeight="false" outlineLevel="0" collapsed="false">
      <c r="A4" s="11" t="s">
        <v>203</v>
      </c>
      <c r="B4" s="11" t="s">
        <v>199</v>
      </c>
      <c r="C4" s="11" t="s">
        <v>204</v>
      </c>
      <c r="D4" s="11" t="s">
        <v>46</v>
      </c>
      <c r="E4" s="11" t="s">
        <v>36</v>
      </c>
      <c r="F4" s="11" t="s">
        <v>205</v>
      </c>
      <c r="G4" s="11" t="s">
        <v>206</v>
      </c>
      <c r="H4" s="11" t="s">
        <v>207</v>
      </c>
    </row>
    <row r="5" customFormat="false" ht="23.85" hidden="false" customHeight="false" outlineLevel="0" collapsed="false">
      <c r="A5" s="10" t="s">
        <v>208</v>
      </c>
      <c r="B5" s="10" t="s">
        <v>209</v>
      </c>
      <c r="C5" s="10" t="s">
        <v>210</v>
      </c>
      <c r="D5" s="10" t="s">
        <v>46</v>
      </c>
      <c r="E5" s="10" t="s">
        <v>103</v>
      </c>
      <c r="F5" s="10" t="s">
        <v>205</v>
      </c>
      <c r="G5" s="10" t="s">
        <v>211</v>
      </c>
      <c r="H5" s="10" t="s">
        <v>212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22"/>
  </cols>
  <sheetData>
    <row r="1" customFormat="false" ht="21.75" hidden="false" customHeight="true" outlineLevel="0" collapsed="false">
      <c r="A1" s="8" t="s">
        <v>213</v>
      </c>
      <c r="B1" s="8"/>
      <c r="C1" s="8"/>
      <c r="D1" s="8"/>
      <c r="E1" s="8"/>
      <c r="F1" s="8"/>
      <c r="G1" s="8"/>
    </row>
    <row r="2" customFormat="false" ht="30" hidden="false" customHeight="true" outlineLevel="0" collapsed="false">
      <c r="A2" s="9" t="s">
        <v>214</v>
      </c>
      <c r="B2" s="9" t="s">
        <v>215</v>
      </c>
      <c r="C2" s="9" t="s">
        <v>216</v>
      </c>
      <c r="D2" s="9" t="s">
        <v>14</v>
      </c>
      <c r="E2" s="9" t="s">
        <v>15</v>
      </c>
      <c r="F2" s="9" t="s">
        <v>217</v>
      </c>
      <c r="G2" s="9" t="s">
        <v>218</v>
      </c>
    </row>
    <row r="3" customFormat="false" ht="23.85" hidden="false" customHeight="false" outlineLevel="0" collapsed="false">
      <c r="A3" s="10" t="s">
        <v>219</v>
      </c>
      <c r="B3" s="10" t="s">
        <v>220</v>
      </c>
      <c r="C3" s="12" t="n">
        <v>2450000</v>
      </c>
      <c r="D3" s="10" t="s">
        <v>24</v>
      </c>
      <c r="E3" s="10" t="s">
        <v>79</v>
      </c>
      <c r="F3" s="10" t="s">
        <v>221</v>
      </c>
      <c r="G3" s="10" t="s">
        <v>222</v>
      </c>
    </row>
    <row r="4" customFormat="false" ht="23.85" hidden="false" customHeight="false" outlineLevel="0" collapsed="false">
      <c r="A4" s="11" t="s">
        <v>223</v>
      </c>
      <c r="B4" s="11" t="s">
        <v>224</v>
      </c>
      <c r="C4" s="14" t="n">
        <v>1450000</v>
      </c>
      <c r="D4" s="11" t="s">
        <v>225</v>
      </c>
      <c r="E4" s="11" t="s">
        <v>67</v>
      </c>
      <c r="F4" s="11" t="s">
        <v>221</v>
      </c>
      <c r="G4" s="11" t="s">
        <v>222</v>
      </c>
    </row>
    <row r="5" customFormat="false" ht="23.85" hidden="false" customHeight="false" outlineLevel="0" collapsed="false">
      <c r="A5" s="10" t="s">
        <v>226</v>
      </c>
      <c r="B5" s="10" t="s">
        <v>227</v>
      </c>
      <c r="C5" s="12" t="n">
        <v>980000</v>
      </c>
      <c r="D5" s="10" t="s">
        <v>225</v>
      </c>
      <c r="E5" s="10" t="s">
        <v>67</v>
      </c>
      <c r="F5" s="10" t="s">
        <v>221</v>
      </c>
      <c r="G5" s="10" t="s">
        <v>222</v>
      </c>
    </row>
    <row r="6" customFormat="false" ht="23.85" hidden="false" customHeight="false" outlineLevel="0" collapsed="false">
      <c r="A6" s="11" t="s">
        <v>228</v>
      </c>
      <c r="B6" s="11" t="s">
        <v>229</v>
      </c>
      <c r="C6" s="14" t="n">
        <v>190000</v>
      </c>
      <c r="D6" s="11" t="s">
        <v>67</v>
      </c>
      <c r="E6" s="11" t="s">
        <v>61</v>
      </c>
      <c r="F6" s="11" t="s">
        <v>230</v>
      </c>
      <c r="G6" s="11" t="s">
        <v>222</v>
      </c>
    </row>
    <row r="7" customFormat="false" ht="23.85" hidden="false" customHeight="false" outlineLevel="0" collapsed="false">
      <c r="A7" s="10" t="s">
        <v>231</v>
      </c>
      <c r="B7" s="10" t="s">
        <v>232</v>
      </c>
      <c r="C7" s="12" t="n">
        <v>130000</v>
      </c>
      <c r="D7" s="10" t="s">
        <v>24</v>
      </c>
      <c r="E7" s="10" t="s">
        <v>79</v>
      </c>
      <c r="F7" s="10" t="s">
        <v>221</v>
      </c>
      <c r="G7" s="10" t="s">
        <v>222</v>
      </c>
    </row>
    <row r="8" customFormat="false" ht="23.85" hidden="false" customHeight="false" outlineLevel="0" collapsed="false">
      <c r="A8" s="11" t="s">
        <v>233</v>
      </c>
      <c r="B8" s="11" t="s">
        <v>234</v>
      </c>
      <c r="C8" s="14" t="n">
        <v>890000</v>
      </c>
      <c r="D8" s="11" t="s">
        <v>32</v>
      </c>
      <c r="E8" s="11" t="s">
        <v>72</v>
      </c>
      <c r="F8" s="11" t="s">
        <v>235</v>
      </c>
      <c r="G8" s="11" t="s">
        <v>222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2026-07-24T16:25:05Z</dcterms:created>
  <dc:creator>openpyxl</dc:creator>
  <dc:description/>
  <dc:language>en-US</dc:language>
  <cp:lastModifiedBy/>
  <dcterms:modified xsi:type="dcterms:W3CDTF">2026-07-24T16:25:05Z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