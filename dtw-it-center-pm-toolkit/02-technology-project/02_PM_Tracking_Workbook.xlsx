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BS_Schedule" sheetId="2" state="visible" r:id="rId4"/>
    <sheet name="Budget_Tracker" sheetId="3" state="visible" r:id="rId5"/>
    <sheet name="RACI_Matrix" sheetId="4" state="visible" r:id="rId6"/>
    <sheet name="Stakeholder_Register" sheetId="5" state="visible" r:id="rId7"/>
    <sheet name="Risk_Register" sheetId="6" state="visible" r:id="rId8"/>
    <sheet name="Issue_Change_Log" sheetId="7" state="visible" r:id="rId9"/>
    <sheet name="Vendor_Contractor_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<sst xmlns="http://schemas.openxmlformats.org/spreadsheetml/2006/main" count="378" uniqueCount="213">
  <si>
    <t xml:space="preserve">IT Center Network &amp; Airport Operations Systems Modernization — PM Tracking Workbook</t>
  </si>
  <si>
    <t xml:space="preserve">Metro Detroit Airport — IT Center</t>
  </si>
  <si>
    <t xml:space="preserve">Metro Detroit Airport IT Center — Technology project. Illustrative, self-directed portfolio scenario (see Charter document for full context); not a record of an actual Authority engagement.</t>
  </si>
  <si>
    <t xml:space="preserve">Pairs with 01_Charter_Comms_Training_Cutover_Plan.docx and 03_Status_and_Closeout_Report.docx in this folder.</t>
  </si>
  <si>
    <t xml:space="preserve">Formula cells (Budget Tracker variance/%, Risk Register score, TOTAL row) recalculate automatically — do not overtype them.</t>
  </si>
  <si>
    <t xml:space="preserve">Color key:</t>
  </si>
  <si>
    <t xml:space="preserve">    Yellow fill = example row showing expected format — replace/delete before use</t>
  </si>
  <si>
    <t xml:space="preserve">    Light blue fill = alternating row shading (no action needed)</t>
  </si>
  <si>
    <t xml:space="preserve">    Navy header row = column titles (do not edit)</t>
  </si>
  <si>
    <t xml:space="preserve">Work Breakdown Structure &amp; Schedule</t>
  </si>
  <si>
    <t xml:space="preserve">Phase</t>
  </si>
  <si>
    <t xml:space="preserve">WBS ID</t>
  </si>
  <si>
    <t xml:space="preserve">Task / Deliverable</t>
  </si>
  <si>
    <t xml:space="preserve">Owner</t>
  </si>
  <si>
    <t xml:space="preserve">Start Date</t>
  </si>
  <si>
    <t xml:space="preserve">End Date</t>
  </si>
  <si>
    <t xml:space="preserve">Duration (days)</t>
  </si>
  <si>
    <t xml:space="preserve">% Complete</t>
  </si>
  <si>
    <t xml:space="preserve">Status</t>
  </si>
  <si>
    <t xml:space="preserve">Predecessor</t>
  </si>
  <si>
    <t xml:space="preserve">Design</t>
  </si>
  <si>
    <t xml:space="preserve">1.0</t>
  </si>
  <si>
    <t xml:space="preserve">Requirements gathering &amp; technical design</t>
  </si>
  <si>
    <t xml:space="preserve">Network Engineering Lead</t>
  </si>
  <si>
    <t xml:space="preserve">Month 1</t>
  </si>
  <si>
    <t xml:space="preserve">100%</t>
  </si>
  <si>
    <t xml:space="preserve">Complete</t>
  </si>
  <si>
    <t xml:space="preserve">-</t>
  </si>
  <si>
    <t xml:space="preserve">1.1</t>
  </si>
  <si>
    <t xml:space="preserve">Technical standards / change-control approval</t>
  </si>
  <si>
    <t xml:space="preserve">PM</t>
  </si>
  <si>
    <t xml:space="preserve">Procurement</t>
  </si>
  <si>
    <t xml:space="preserve">2.0</t>
  </si>
  <si>
    <t xml:space="preserve">Vendor procurement (switches, routers, SIEM)</t>
  </si>
  <si>
    <t xml:space="preserve">Month 2</t>
  </si>
  <si>
    <t xml:space="preserve">Backbone Install</t>
  </si>
  <si>
    <t xml:space="preserve">3.0</t>
  </si>
  <si>
    <t xml:space="preserve">Fiber backbone install (dependent on facility handover)</t>
  </si>
  <si>
    <t xml:space="preserve">Systems Integrator</t>
  </si>
  <si>
    <t xml:space="preserve">Month 3</t>
  </si>
  <si>
    <t xml:space="preserve">Month 4</t>
  </si>
  <si>
    <t xml:space="preserve">3.1</t>
  </si>
  <si>
    <t xml:space="preserve">Backbone testing &amp; validation</t>
  </si>
  <si>
    <t xml:space="preserve">Core Cutover</t>
  </si>
  <si>
    <t xml:space="preserve">4.0</t>
  </si>
  <si>
    <t xml:space="preserve">Core network cutover — all concourses</t>
  </si>
  <si>
    <t xml:space="preserve">Month 5</t>
  </si>
  <si>
    <t xml:space="preserve">Systems Migration</t>
  </si>
  <si>
    <t xml:space="preserve">5.0</t>
  </si>
  <si>
    <t xml:space="preserve">Passenger processing system migration</t>
  </si>
  <si>
    <t xml:space="preserve">Month 6</t>
  </si>
  <si>
    <t xml:space="preserve">5.1</t>
  </si>
  <si>
    <t xml:space="preserve">Baggage handling system migration</t>
  </si>
  <si>
    <t xml:space="preserve">Month 7</t>
  </si>
  <si>
    <t xml:space="preserve">85%</t>
  </si>
  <si>
    <t xml:space="preserve">In Progress</t>
  </si>
  <si>
    <t xml:space="preserve">5.2</t>
  </si>
  <si>
    <t xml:space="preserve">Access-control/security system migration</t>
  </si>
  <si>
    <t xml:space="preserve">0%</t>
  </si>
  <si>
    <t xml:space="preserve">Not Started</t>
  </si>
  <si>
    <t xml:space="preserve">Monitoring &amp; Hardening</t>
  </si>
  <si>
    <t xml:space="preserve">6.0</t>
  </si>
  <si>
    <t xml:space="preserve">Monitoring/SIEM platform go-live</t>
  </si>
  <si>
    <t xml:space="preserve">Cybersecurity Lead</t>
  </si>
  <si>
    <t xml:space="preserve">Month 8</t>
  </si>
  <si>
    <t xml:space="preserve">40%</t>
  </si>
  <si>
    <t xml:space="preserve">6.1</t>
  </si>
  <si>
    <t xml:space="preserve">Cybersecurity hardening checklist</t>
  </si>
  <si>
    <t xml:space="preserve">Training &amp; Closeout</t>
  </si>
  <si>
    <t xml:space="preserve">7.0</t>
  </si>
  <si>
    <t xml:space="preserve">Training, hypercare &amp; project closeout</t>
  </si>
  <si>
    <t xml:space="preserve">Month 9</t>
  </si>
  <si>
    <t xml:space="preserve">Budget Tracker</t>
  </si>
  <si>
    <t xml:space="preserve">Cost Category</t>
  </si>
  <si>
    <t xml:space="preserve">Budgeted ($)</t>
  </si>
  <si>
    <t xml:space="preserve">Committed ($)</t>
  </si>
  <si>
    <t xml:space="preserve">Actual to Date ($)</t>
  </si>
  <si>
    <t xml:space="preserve">Variance ($)</t>
  </si>
  <si>
    <t xml:space="preserve">% Used</t>
  </si>
  <si>
    <t xml:space="preserve">Notes</t>
  </si>
  <si>
    <t xml:space="preserve">Network Hardware (switches/routers)</t>
  </si>
  <si>
    <t xml:space="preserve">Fiber/Cabling Installation</t>
  </si>
  <si>
    <t xml:space="preserve">Systems Migration (Integrator Labor)</t>
  </si>
  <si>
    <t xml:space="preserve">On track</t>
  </si>
  <si>
    <t xml:space="preserve">Monitoring / SIEM Platform</t>
  </si>
  <si>
    <t xml:space="preserve">Change Request #2 — added log-source licensing, +$8,000</t>
  </si>
  <si>
    <t xml:space="preserve">Cybersecurity Hardening</t>
  </si>
  <si>
    <t xml:space="preserve">In progress</t>
  </si>
  <si>
    <t xml:space="preserve">Training &amp; Documentation</t>
  </si>
  <si>
    <t xml:space="preserve">Not started</t>
  </si>
  <si>
    <t xml:space="preserve">Vendor Support / Warranty (Yr 1)</t>
  </si>
  <si>
    <t xml:space="preserve">Contingency</t>
  </si>
  <si>
    <t xml:space="preserve">1 approved Change Request — SIEM licensing</t>
  </si>
  <si>
    <t xml:space="preserve">TOTAL</t>
  </si>
  <si>
    <t xml:space="preserve">RACI Matrix  (R = Responsible · A = Accountable · C = Consulted · I = Informed)</t>
  </si>
  <si>
    <t xml:space="preserve">Sponsor (Tech Services)</t>
  </si>
  <si>
    <t xml:space="preserve">Network Eng Lead</t>
  </si>
  <si>
    <t xml:space="preserve">Airport Ops</t>
  </si>
  <si>
    <t xml:space="preserve">Airline Tenant IT</t>
  </si>
  <si>
    <t xml:space="preserve">Technical design approval</t>
  </si>
  <si>
    <t xml:space="preserve">A</t>
  </si>
  <si>
    <t xml:space="preserve">R</t>
  </si>
  <si>
    <t xml:space="preserve">C</t>
  </si>
  <si>
    <t xml:space="preserve">I</t>
  </si>
  <si>
    <t xml:space="preserve">Vendor procurement</t>
  </si>
  <si>
    <t xml:space="preserve">Backbone install &amp; test</t>
  </si>
  <si>
    <t xml:space="preserve">Core network cutover</t>
  </si>
  <si>
    <t xml:space="preserve">Operations systems migration</t>
  </si>
  <si>
    <t xml:space="preserve">Monitoring &amp; cybersecurity hardening</t>
  </si>
  <si>
    <t xml:space="preserve">Training &amp; hypercare</t>
  </si>
  <si>
    <t xml:space="preserve">Go-live / closeout sign-off</t>
  </si>
  <si>
    <t xml:space="preserve">Stakeholder Register</t>
  </si>
  <si>
    <t xml:space="preserve">Name / Role</t>
  </si>
  <si>
    <t xml:space="preserve">Organization</t>
  </si>
  <si>
    <t xml:space="preserve">Interest</t>
  </si>
  <si>
    <t xml:space="preserve">Influence (H/M/L)</t>
  </si>
  <si>
    <t xml:space="preserve">Engagement Strategy</t>
  </si>
  <si>
    <t xml:space="preserve">Contact</t>
  </si>
  <si>
    <t xml:space="preserve">Director, Technology Services</t>
  </si>
  <si>
    <t xml:space="preserve">Metro Detroit Airport IT Center</t>
  </si>
  <si>
    <t xml:space="preserve">Executive sponsor; budget owner</t>
  </si>
  <si>
    <t xml:space="preserve">H</t>
  </si>
  <si>
    <t xml:space="preserve">Monthly steering review; escalation contact</t>
  </si>
  <si>
    <t xml:space="preserve">[email/phone]</t>
  </si>
  <si>
    <t xml:space="preserve">Owns technical design &amp; cutover execution</t>
  </si>
  <si>
    <t xml:space="preserve">Weekly working session</t>
  </si>
  <si>
    <t xml:space="preserve">Owns hardening standards &amp; sign-off</t>
  </si>
  <si>
    <t xml:space="preserve">Bi-weekly review; hardening checklist owner</t>
  </si>
  <si>
    <t xml:space="preserve">Airport Operations Director</t>
  </si>
  <si>
    <t xml:space="preserve">Metro Detroit Airport</t>
  </si>
  <si>
    <t xml:space="preserve">Approves cutover windows; receiving owner</t>
  </si>
  <si>
    <t xml:space="preserve">Change-control meeting; go/no-go authority</t>
  </si>
  <si>
    <t xml:space="preserve">Airline Tenant IT Liaisons (multiple)</t>
  </si>
  <si>
    <t xml:space="preserve">Airline tenants</t>
  </si>
  <si>
    <t xml:space="preserve">Coordinate shared-system testing</t>
  </si>
  <si>
    <t xml:space="preserve">M</t>
  </si>
  <si>
    <t xml:space="preserve">Bi-weekly coordination calls during migration</t>
  </si>
  <si>
    <t xml:space="preserve">Systems Integrator Project Manager</t>
  </si>
  <si>
    <t xml:space="preserve">Integrator firm</t>
  </si>
  <si>
    <t xml:space="preserve">Delivers migration &amp; cutover work</t>
  </si>
  <si>
    <t xml:space="preserve">Weekly vendor status meeting</t>
  </si>
  <si>
    <t xml:space="preserve">Help Desk Manager</t>
  </si>
  <si>
    <t xml:space="preserve">Owns end-user support &amp; hypercare</t>
  </si>
  <si>
    <t xml:space="preserve">Training handoff; hypercare metrics review</t>
  </si>
  <si>
    <t xml:space="preserve">Risk Register</t>
  </si>
  <si>
    <t xml:space="preserve">Risk ID</t>
  </si>
  <si>
    <t xml:space="preserve">Description</t>
  </si>
  <si>
    <t xml:space="preserve">Category</t>
  </si>
  <si>
    <t xml:space="preserve">Probability (1-5)</t>
  </si>
  <si>
    <t xml:space="preserve">Impact (1-5)</t>
  </si>
  <si>
    <t xml:space="preserve">Score</t>
  </si>
  <si>
    <t xml:space="preserve">Response Strategy</t>
  </si>
  <si>
    <t xml:space="preserve">R1</t>
  </si>
  <si>
    <t xml:space="preserve">Cutover causes unplanned outage to live operations systems</t>
  </si>
  <si>
    <t xml:space="preserve">Operational</t>
  </si>
  <si>
    <t xml:space="preserve">Overnight low-traffic windows; rollback plan rehearsed pre-cutover</t>
  </si>
  <si>
    <t xml:space="preserve">PM / Network Eng Lead</t>
  </si>
  <si>
    <t xml:space="preserve">Closed (cutover complete)</t>
  </si>
  <si>
    <t xml:space="preserve">R2</t>
  </si>
  <si>
    <t xml:space="preserve">Vendor equipment delivery delayed post-PO</t>
  </si>
  <si>
    <t xml:space="preserve">PO issued with confirmed lead times; weekly vendor status check</t>
  </si>
  <si>
    <t xml:space="preserve">Closed</t>
  </si>
  <si>
    <t xml:space="preserve">R3</t>
  </si>
  <si>
    <t xml:space="preserve">Airline tenant testing availability conflicts compress migration window</t>
  </si>
  <si>
    <t xml:space="preserve">Coordination</t>
  </si>
  <si>
    <t xml:space="preserve">Build float into migration schedule; confirm liaison availability early</t>
  </si>
  <si>
    <t xml:space="preserve">Monitoring</t>
  </si>
  <si>
    <t xml:space="preserve">R4</t>
  </si>
  <si>
    <t xml:space="preserve">Cybersecurity hardening review surfaces additional licensing/scope needs</t>
  </si>
  <si>
    <t xml:space="preserve">Technical</t>
  </si>
  <si>
    <t xml:space="preserve">Change Request process; fund from contingency if approved</t>
  </si>
  <si>
    <t xml:space="preserve">Open</t>
  </si>
  <si>
    <t xml:space="preserve">R5</t>
  </si>
  <si>
    <t xml:space="preserve">Post-go-live ticket spike from training gaps</t>
  </si>
  <si>
    <t xml:space="preserve">Adoption</t>
  </si>
  <si>
    <t xml:space="preserve">Hypercare staffing plan sized per migrated system; 30-day exit review</t>
  </si>
  <si>
    <t xml:space="preserve">R6</t>
  </si>
  <si>
    <t xml:space="preserve">Data migration integrity issue (records lost/corrupted in transfer)</t>
  </si>
  <si>
    <t xml:space="preserve">Full backup before each migration event; acceptance test sign-off before decommissioning legacy system</t>
  </si>
  <si>
    <t xml:space="preserve">Issue &amp; Change Log</t>
  </si>
  <si>
    <t xml:space="preserve">ID</t>
  </si>
  <si>
    <t xml:space="preserve">Type (Issue/Change)</t>
  </si>
  <si>
    <t xml:space="preserve">Date Raised</t>
  </si>
  <si>
    <t xml:space="preserve">Priority</t>
  </si>
  <si>
    <t xml:space="preserve">Resolution / Decision</t>
  </si>
  <si>
    <t xml:space="preserve">I3</t>
  </si>
  <si>
    <t xml:space="preserve">Issue</t>
  </si>
  <si>
    <t xml:space="preserve">Airline tenant requested a later testing slot, compressing migration window</t>
  </si>
  <si>
    <t xml:space="preserve">Low</t>
  </si>
  <si>
    <t xml:space="preserve">Resolved</t>
  </si>
  <si>
    <t xml:space="preserve">Rescheduled within existing float; no baseline impact</t>
  </si>
  <si>
    <t xml:space="preserve">C2</t>
  </si>
  <si>
    <t xml:space="preserve">Change</t>
  </si>
  <si>
    <t xml:space="preserve">Additional SIEM log-source licensing required after hardening review</t>
  </si>
  <si>
    <t xml:space="preserve">Medium</t>
  </si>
  <si>
    <t xml:space="preserve">Approved</t>
  </si>
  <si>
    <t xml:space="preserve">Change Request #2 executed, +$8,000, funded from contingency</t>
  </si>
  <si>
    <t xml:space="preserve">Vendor / Contractor Register</t>
  </si>
  <si>
    <t xml:space="preserve">Vendor / Contractor</t>
  </si>
  <si>
    <t xml:space="preserve">Scope of Work</t>
  </si>
  <si>
    <t xml:space="preserve">Contract Value ($)</t>
  </si>
  <si>
    <t xml:space="preserve">Performance Rating</t>
  </si>
  <si>
    <t xml:space="preserve">Key Contact</t>
  </si>
  <si>
    <t xml:space="preserve">[Network Equipment OEM]</t>
  </si>
  <si>
    <t xml:space="preserve">Core/distribution switches, routers, licensing</t>
  </si>
  <si>
    <t xml:space="preserve">Meets expectations</t>
  </si>
  <si>
    <t xml:space="preserve">[Contact name / email]</t>
  </si>
  <si>
    <t xml:space="preserve">[Systems Integrator firm]</t>
  </si>
  <si>
    <t xml:space="preserve">Fiber install, systems migration, cutover execution</t>
  </si>
  <si>
    <t xml:space="preserve">[SIEM/Monitoring platform vendor]</t>
  </si>
  <si>
    <t xml:space="preserve">Monitoring platform license &amp; implementation support</t>
  </si>
  <si>
    <t xml:space="preserve">[Fiber/Cabling contractor]</t>
  </si>
  <si>
    <t xml:space="preserve">Backbone cable install &amp; termination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</si>
</sst>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1"/>
      <color rgb="FF44546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D9E2F3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5" t="s">
        <v>6</v>
      </c>
    </row>
    <row r="10" customFormat="false" ht="1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7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10" min="9" style="0" width="12"/>
  </cols>
  <sheetData>
    <row r="1" customFormat="false" ht="21.75" hidden="false" customHeight="true" outlineLevel="0" collapsed="false">
      <c r="A1" s="8" t="s">
        <v>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30" hidden="false" customHeight="true" outlineLevel="0" collapsed="false">
      <c r="A2" s="9" t="s">
        <v>10</v>
      </c>
      <c r="B2" s="9" t="s">
        <v>11</v>
      </c>
      <c r="C2" s="9" t="s">
        <v>12</v>
      </c>
      <c r="D2" s="9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</row>
    <row r="3" customFormat="false" ht="23.85" hidden="false" customHeight="false" outlineLevel="0" collapsed="false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24</v>
      </c>
      <c r="G3" s="10" t="n">
        <v>25</v>
      </c>
      <c r="H3" s="10" t="s">
        <v>25</v>
      </c>
      <c r="I3" s="10" t="s">
        <v>26</v>
      </c>
      <c r="J3" s="10" t="s">
        <v>27</v>
      </c>
    </row>
    <row r="4" customFormat="false" ht="23.85" hidden="false" customHeight="false" outlineLevel="0" collapsed="false">
      <c r="A4" s="11" t="s">
        <v>20</v>
      </c>
      <c r="B4" s="11" t="s">
        <v>28</v>
      </c>
      <c r="C4" s="11" t="s">
        <v>29</v>
      </c>
      <c r="D4" s="11" t="s">
        <v>30</v>
      </c>
      <c r="E4" s="11" t="s">
        <v>24</v>
      </c>
      <c r="F4" s="11" t="s">
        <v>24</v>
      </c>
      <c r="G4" s="11" t="n">
        <v>10</v>
      </c>
      <c r="H4" s="11" t="s">
        <v>25</v>
      </c>
      <c r="I4" s="11" t="s">
        <v>26</v>
      </c>
      <c r="J4" s="11" t="s">
        <v>21</v>
      </c>
    </row>
    <row r="5" customFormat="false" ht="23.85" hidden="false" customHeight="false" outlineLevel="0" collapsed="false">
      <c r="A5" s="10" t="s">
        <v>31</v>
      </c>
      <c r="B5" s="10" t="s">
        <v>32</v>
      </c>
      <c r="C5" s="10" t="s">
        <v>33</v>
      </c>
      <c r="D5" s="10" t="s">
        <v>30</v>
      </c>
      <c r="E5" s="10" t="s">
        <v>34</v>
      </c>
      <c r="F5" s="10" t="s">
        <v>34</v>
      </c>
      <c r="G5" s="10" t="n">
        <v>20</v>
      </c>
      <c r="H5" s="10" t="s">
        <v>25</v>
      </c>
      <c r="I5" s="10" t="s">
        <v>26</v>
      </c>
      <c r="J5" s="10" t="s">
        <v>28</v>
      </c>
    </row>
    <row r="6" customFormat="false" ht="23.85" hidden="false" customHeight="false" outlineLevel="0" collapsed="false">
      <c r="A6" s="11" t="s">
        <v>35</v>
      </c>
      <c r="B6" s="11" t="s">
        <v>36</v>
      </c>
      <c r="C6" s="11" t="s">
        <v>37</v>
      </c>
      <c r="D6" s="11" t="s">
        <v>38</v>
      </c>
      <c r="E6" s="11" t="s">
        <v>39</v>
      </c>
      <c r="F6" s="11" t="s">
        <v>40</v>
      </c>
      <c r="G6" s="11" t="n">
        <v>40</v>
      </c>
      <c r="H6" s="11" t="s">
        <v>25</v>
      </c>
      <c r="I6" s="11" t="s">
        <v>26</v>
      </c>
      <c r="J6" s="11" t="s">
        <v>32</v>
      </c>
    </row>
    <row r="7" customFormat="false" ht="23.85" hidden="false" customHeight="false" outlineLevel="0" collapsed="false">
      <c r="A7" s="10" t="s">
        <v>35</v>
      </c>
      <c r="B7" s="10" t="s">
        <v>41</v>
      </c>
      <c r="C7" s="10" t="s">
        <v>42</v>
      </c>
      <c r="D7" s="10" t="s">
        <v>23</v>
      </c>
      <c r="E7" s="10" t="s">
        <v>40</v>
      </c>
      <c r="F7" s="10" t="s">
        <v>40</v>
      </c>
      <c r="G7" s="10" t="n">
        <v>12</v>
      </c>
      <c r="H7" s="10" t="s">
        <v>25</v>
      </c>
      <c r="I7" s="10" t="s">
        <v>26</v>
      </c>
      <c r="J7" s="10" t="s">
        <v>36</v>
      </c>
    </row>
    <row r="8" customFormat="false" ht="23.85" hidden="false" customHeight="false" outlineLevel="0" collapsed="false">
      <c r="A8" s="11" t="s">
        <v>43</v>
      </c>
      <c r="B8" s="11" t="s">
        <v>44</v>
      </c>
      <c r="C8" s="11" t="s">
        <v>45</v>
      </c>
      <c r="D8" s="11" t="s">
        <v>23</v>
      </c>
      <c r="E8" s="11" t="s">
        <v>46</v>
      </c>
      <c r="F8" s="11" t="s">
        <v>46</v>
      </c>
      <c r="G8" s="11" t="n">
        <v>20</v>
      </c>
      <c r="H8" s="11" t="s">
        <v>25</v>
      </c>
      <c r="I8" s="11" t="s">
        <v>26</v>
      </c>
      <c r="J8" s="11" t="s">
        <v>41</v>
      </c>
    </row>
    <row r="9" customFormat="false" ht="15" hidden="false" customHeight="false" outlineLevel="0" collapsed="false">
      <c r="A9" s="10" t="s">
        <v>47</v>
      </c>
      <c r="B9" s="10" t="s">
        <v>48</v>
      </c>
      <c r="C9" s="10" t="s">
        <v>49</v>
      </c>
      <c r="D9" s="10" t="s">
        <v>38</v>
      </c>
      <c r="E9" s="10" t="s">
        <v>50</v>
      </c>
      <c r="F9" s="10" t="s">
        <v>50</v>
      </c>
      <c r="G9" s="10" t="n">
        <v>20</v>
      </c>
      <c r="H9" s="10" t="s">
        <v>25</v>
      </c>
      <c r="I9" s="10" t="s">
        <v>26</v>
      </c>
      <c r="J9" s="10" t="s">
        <v>44</v>
      </c>
    </row>
    <row r="10" customFormat="false" ht="15" hidden="false" customHeight="false" outlineLevel="0" collapsed="false">
      <c r="A10" s="11" t="s">
        <v>47</v>
      </c>
      <c r="B10" s="11" t="s">
        <v>51</v>
      </c>
      <c r="C10" s="11" t="s">
        <v>52</v>
      </c>
      <c r="D10" s="11" t="s">
        <v>38</v>
      </c>
      <c r="E10" s="11" t="s">
        <v>50</v>
      </c>
      <c r="F10" s="11" t="s">
        <v>53</v>
      </c>
      <c r="G10" s="11" t="n">
        <v>25</v>
      </c>
      <c r="H10" s="11" t="s">
        <v>54</v>
      </c>
      <c r="I10" s="11" t="s">
        <v>55</v>
      </c>
      <c r="J10" s="11" t="s">
        <v>44</v>
      </c>
    </row>
    <row r="11" customFormat="false" ht="15" hidden="false" customHeight="false" outlineLevel="0" collapsed="false">
      <c r="A11" s="10" t="s">
        <v>47</v>
      </c>
      <c r="B11" s="10" t="s">
        <v>56</v>
      </c>
      <c r="C11" s="10" t="s">
        <v>57</v>
      </c>
      <c r="D11" s="10" t="s">
        <v>38</v>
      </c>
      <c r="E11" s="10" t="s">
        <v>53</v>
      </c>
      <c r="F11" s="10" t="s">
        <v>53</v>
      </c>
      <c r="G11" s="10" t="n">
        <v>15</v>
      </c>
      <c r="H11" s="10" t="s">
        <v>58</v>
      </c>
      <c r="I11" s="10" t="s">
        <v>59</v>
      </c>
      <c r="J11" s="10" t="s">
        <v>51</v>
      </c>
    </row>
    <row r="12" customFormat="false" ht="23.85" hidden="false" customHeight="false" outlineLevel="0" collapsed="false">
      <c r="A12" s="11" t="s">
        <v>60</v>
      </c>
      <c r="B12" s="11" t="s">
        <v>61</v>
      </c>
      <c r="C12" s="11" t="s">
        <v>62</v>
      </c>
      <c r="D12" s="11" t="s">
        <v>63</v>
      </c>
      <c r="E12" s="11" t="s">
        <v>53</v>
      </c>
      <c r="F12" s="11" t="s">
        <v>64</v>
      </c>
      <c r="G12" s="11" t="n">
        <v>20</v>
      </c>
      <c r="H12" s="11" t="s">
        <v>65</v>
      </c>
      <c r="I12" s="11" t="s">
        <v>55</v>
      </c>
      <c r="J12" s="11" t="s">
        <v>56</v>
      </c>
    </row>
    <row r="13" customFormat="false" ht="23.85" hidden="false" customHeight="false" outlineLevel="0" collapsed="false">
      <c r="A13" s="10" t="s">
        <v>60</v>
      </c>
      <c r="B13" s="10" t="s">
        <v>66</v>
      </c>
      <c r="C13" s="10" t="s">
        <v>67</v>
      </c>
      <c r="D13" s="10" t="s">
        <v>63</v>
      </c>
      <c r="E13" s="10" t="s">
        <v>64</v>
      </c>
      <c r="F13" s="10" t="s">
        <v>64</v>
      </c>
      <c r="G13" s="10" t="n">
        <v>15</v>
      </c>
      <c r="H13" s="10" t="s">
        <v>58</v>
      </c>
      <c r="I13" s="10" t="s">
        <v>59</v>
      </c>
      <c r="J13" s="10" t="s">
        <v>61</v>
      </c>
    </row>
    <row r="14" customFormat="false" ht="23.85" hidden="false" customHeight="false" outlineLevel="0" collapsed="false">
      <c r="A14" s="11" t="s">
        <v>68</v>
      </c>
      <c r="B14" s="11" t="s">
        <v>69</v>
      </c>
      <c r="C14" s="11" t="s">
        <v>70</v>
      </c>
      <c r="D14" s="11" t="s">
        <v>30</v>
      </c>
      <c r="E14" s="11" t="s">
        <v>71</v>
      </c>
      <c r="F14" s="11" t="s">
        <v>71</v>
      </c>
      <c r="G14" s="11" t="n">
        <v>20</v>
      </c>
      <c r="H14" s="11" t="s">
        <v>58</v>
      </c>
      <c r="I14" s="11" t="s">
        <v>59</v>
      </c>
      <c r="J14" s="11" t="s">
        <v>66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21.75" hidden="false" customHeight="true" outlineLevel="0" collapsed="false">
      <c r="A1" s="8" t="s">
        <v>72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73</v>
      </c>
      <c r="B2" s="9" t="s">
        <v>74</v>
      </c>
      <c r="C2" s="9" t="s">
        <v>75</v>
      </c>
      <c r="D2" s="9" t="s">
        <v>76</v>
      </c>
      <c r="E2" s="9" t="s">
        <v>77</v>
      </c>
      <c r="F2" s="9" t="s">
        <v>78</v>
      </c>
      <c r="G2" s="9" t="s">
        <v>79</v>
      </c>
    </row>
    <row r="3" customFormat="false" ht="23.85" hidden="false" customHeight="false" outlineLevel="0" collapsed="false">
      <c r="A3" s="10" t="s">
        <v>80</v>
      </c>
      <c r="B3" s="12" t="n">
        <v>980000</v>
      </c>
      <c r="C3" s="12" t="n">
        <v>970000</v>
      </c>
      <c r="D3" s="12" t="n">
        <v>965000</v>
      </c>
      <c r="E3" s="12" t="n">
        <f aca="false">D3-B3</f>
        <v>-15000</v>
      </c>
      <c r="F3" s="13" t="n">
        <f aca="false">IFERROR(D3/B3,0)</f>
        <v>0.98469387755102</v>
      </c>
      <c r="G3" s="10" t="s">
        <v>26</v>
      </c>
    </row>
    <row r="4" customFormat="false" ht="15" hidden="false" customHeight="false" outlineLevel="0" collapsed="false">
      <c r="A4" s="11" t="s">
        <v>81</v>
      </c>
      <c r="B4" s="14" t="n">
        <v>310000</v>
      </c>
      <c r="C4" s="14" t="n">
        <v>300000</v>
      </c>
      <c r="D4" s="14" t="n">
        <v>298000</v>
      </c>
      <c r="E4" s="14" t="n">
        <f aca="false">D4-B4</f>
        <v>-12000</v>
      </c>
      <c r="F4" s="15" t="n">
        <f aca="false">IFERROR(D4/B4,0)</f>
        <v>0.961290322580645</v>
      </c>
      <c r="G4" s="11" t="s">
        <v>26</v>
      </c>
    </row>
    <row r="5" customFormat="false" ht="23.85" hidden="false" customHeight="false" outlineLevel="0" collapsed="false">
      <c r="A5" s="10" t="s">
        <v>82</v>
      </c>
      <c r="B5" s="12" t="n">
        <v>540000</v>
      </c>
      <c r="C5" s="12" t="n">
        <v>420000</v>
      </c>
      <c r="D5" s="12" t="n">
        <v>385000</v>
      </c>
      <c r="E5" s="12" t="n">
        <f aca="false">D5-B5</f>
        <v>-155000</v>
      </c>
      <c r="F5" s="13" t="n">
        <f aca="false">IFERROR(D5/B5,0)</f>
        <v>0.712962962962963</v>
      </c>
      <c r="G5" s="10" t="s">
        <v>83</v>
      </c>
    </row>
    <row r="6" customFormat="false" ht="23.85" hidden="false" customHeight="false" outlineLevel="0" collapsed="false">
      <c r="A6" s="11" t="s">
        <v>84</v>
      </c>
      <c r="B6" s="14" t="n">
        <v>260000</v>
      </c>
      <c r="C6" s="14" t="n">
        <v>268000</v>
      </c>
      <c r="D6" s="14" t="n">
        <v>268000</v>
      </c>
      <c r="E6" s="14" t="n">
        <f aca="false">D6-B6</f>
        <v>8000</v>
      </c>
      <c r="F6" s="15" t="n">
        <f aca="false">IFERROR(D6/B6,0)</f>
        <v>1.03076923076923</v>
      </c>
      <c r="G6" s="11" t="s">
        <v>85</v>
      </c>
    </row>
    <row r="7" customFormat="false" ht="15" hidden="false" customHeight="false" outlineLevel="0" collapsed="false">
      <c r="A7" s="10" t="s">
        <v>86</v>
      </c>
      <c r="B7" s="12" t="n">
        <v>150000</v>
      </c>
      <c r="C7" s="12" t="n">
        <v>40000</v>
      </c>
      <c r="D7" s="12" t="n">
        <v>20000</v>
      </c>
      <c r="E7" s="12" t="n">
        <f aca="false">D7-B7</f>
        <v>-130000</v>
      </c>
      <c r="F7" s="13" t="n">
        <f aca="false">IFERROR(D7/B7,0)</f>
        <v>0.133333333333333</v>
      </c>
      <c r="G7" s="10" t="s">
        <v>87</v>
      </c>
    </row>
    <row r="8" customFormat="false" ht="15" hidden="false" customHeight="false" outlineLevel="0" collapsed="false">
      <c r="A8" s="11" t="s">
        <v>88</v>
      </c>
      <c r="B8" s="14" t="n">
        <v>90000</v>
      </c>
      <c r="C8" s="14" t="n">
        <v>0</v>
      </c>
      <c r="D8" s="14" t="n">
        <v>0</v>
      </c>
      <c r="E8" s="14" t="n">
        <f aca="false">D8-B8</f>
        <v>-90000</v>
      </c>
      <c r="F8" s="15" t="n">
        <f aca="false">IFERROR(D8/B8,0)</f>
        <v>0</v>
      </c>
      <c r="G8" s="11" t="s">
        <v>89</v>
      </c>
    </row>
    <row r="9" customFormat="false" ht="23.85" hidden="false" customHeight="false" outlineLevel="0" collapsed="false">
      <c r="A9" s="10" t="s">
        <v>90</v>
      </c>
      <c r="B9" s="12" t="n">
        <v>135000</v>
      </c>
      <c r="C9" s="12" t="n">
        <v>135000</v>
      </c>
      <c r="D9" s="12" t="n">
        <v>135000</v>
      </c>
      <c r="E9" s="12" t="n">
        <f aca="false">D9-B9</f>
        <v>0</v>
      </c>
      <c r="F9" s="13" t="n">
        <f aca="false">IFERROR(D9/B9,0)</f>
        <v>1</v>
      </c>
      <c r="G9" s="10" t="s">
        <v>26</v>
      </c>
    </row>
    <row r="10" customFormat="false" ht="23.85" hidden="false" customHeight="false" outlineLevel="0" collapsed="false">
      <c r="A10" s="11" t="s">
        <v>91</v>
      </c>
      <c r="B10" s="14" t="n">
        <v>185000</v>
      </c>
      <c r="C10" s="14" t="n">
        <v>8000</v>
      </c>
      <c r="D10" s="14" t="n">
        <v>8000</v>
      </c>
      <c r="E10" s="14" t="n">
        <f aca="false">D10-B10</f>
        <v>-177000</v>
      </c>
      <c r="F10" s="15" t="n">
        <f aca="false">IFERROR(D10/B10,0)</f>
        <v>0.0432432432432432</v>
      </c>
      <c r="G10" s="11" t="s">
        <v>92</v>
      </c>
    </row>
    <row r="11" customFormat="false" ht="15" hidden="false" customHeight="false" outlineLevel="0" collapsed="false">
      <c r="A11" s="16" t="s">
        <v>93</v>
      </c>
      <c r="B11" s="17" t="n">
        <f aca="false">SUM(B3:B10)</f>
        <v>2650000</v>
      </c>
      <c r="C11" s="17" t="n">
        <f aca="false">SUM(C3:C10)</f>
        <v>2141000</v>
      </c>
      <c r="D11" s="17" t="n">
        <f aca="false">SUM(D3:D10)</f>
        <v>2079000</v>
      </c>
      <c r="E11" s="17" t="n">
        <f aca="false">D11-B11</f>
        <v>-571000</v>
      </c>
      <c r="F11" s="18" t="n">
        <f aca="false">IFERROR(D11/B11,0)</f>
        <v>0.784528301886793</v>
      </c>
      <c r="G11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21.75" hidden="false" customHeight="true" outlineLevel="0" collapsed="false">
      <c r="A1" s="8" t="s">
        <v>94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12</v>
      </c>
      <c r="B2" s="9" t="s">
        <v>30</v>
      </c>
      <c r="C2" s="9" t="s">
        <v>95</v>
      </c>
      <c r="D2" s="9" t="s">
        <v>96</v>
      </c>
      <c r="E2" s="9" t="s">
        <v>63</v>
      </c>
      <c r="F2" s="9" t="s">
        <v>38</v>
      </c>
      <c r="G2" s="9" t="s">
        <v>97</v>
      </c>
      <c r="H2" s="9" t="s">
        <v>98</v>
      </c>
    </row>
    <row r="3" customFormat="false" ht="15" hidden="false" customHeight="false" outlineLevel="0" collapsed="false">
      <c r="A3" s="10" t="s">
        <v>99</v>
      </c>
      <c r="B3" s="10" t="s">
        <v>100</v>
      </c>
      <c r="C3" s="10" t="s">
        <v>100</v>
      </c>
      <c r="D3" s="10" t="s">
        <v>101</v>
      </c>
      <c r="E3" s="10" t="s">
        <v>102</v>
      </c>
      <c r="F3" s="10" t="s">
        <v>102</v>
      </c>
      <c r="G3" s="10" t="s">
        <v>103</v>
      </c>
      <c r="H3" s="10" t="s">
        <v>103</v>
      </c>
    </row>
    <row r="4" customFormat="false" ht="15" hidden="false" customHeight="false" outlineLevel="0" collapsed="false">
      <c r="A4" s="11" t="s">
        <v>104</v>
      </c>
      <c r="B4" s="11" t="s">
        <v>101</v>
      </c>
      <c r="C4" s="11" t="s">
        <v>100</v>
      </c>
      <c r="D4" s="11" t="s">
        <v>102</v>
      </c>
      <c r="E4" s="11" t="s">
        <v>103</v>
      </c>
      <c r="F4" s="11" t="s">
        <v>103</v>
      </c>
      <c r="G4" s="11" t="s">
        <v>103</v>
      </c>
      <c r="H4" s="11" t="s">
        <v>103</v>
      </c>
    </row>
    <row r="5" customFormat="false" ht="15" hidden="false" customHeight="false" outlineLevel="0" collapsed="false">
      <c r="A5" s="10" t="s">
        <v>105</v>
      </c>
      <c r="B5" s="10" t="s">
        <v>100</v>
      </c>
      <c r="C5" s="10" t="s">
        <v>103</v>
      </c>
      <c r="D5" s="10" t="s">
        <v>101</v>
      </c>
      <c r="E5" s="10" t="s">
        <v>103</v>
      </c>
      <c r="F5" s="10" t="s">
        <v>101</v>
      </c>
      <c r="G5" s="10" t="s">
        <v>102</v>
      </c>
      <c r="H5" s="10" t="s">
        <v>103</v>
      </c>
    </row>
    <row r="6" customFormat="false" ht="15" hidden="false" customHeight="false" outlineLevel="0" collapsed="false">
      <c r="A6" s="11" t="s">
        <v>106</v>
      </c>
      <c r="B6" s="11" t="s">
        <v>100</v>
      </c>
      <c r="C6" s="11" t="s">
        <v>103</v>
      </c>
      <c r="D6" s="11" t="s">
        <v>101</v>
      </c>
      <c r="E6" s="11" t="s">
        <v>102</v>
      </c>
      <c r="F6" s="11" t="s">
        <v>101</v>
      </c>
      <c r="G6" s="11" t="s">
        <v>100</v>
      </c>
      <c r="H6" s="11" t="s">
        <v>102</v>
      </c>
    </row>
    <row r="7" customFormat="false" ht="15" hidden="false" customHeight="false" outlineLevel="0" collapsed="false">
      <c r="A7" s="10" t="s">
        <v>107</v>
      </c>
      <c r="B7" s="10" t="s">
        <v>100</v>
      </c>
      <c r="C7" s="10" t="s">
        <v>103</v>
      </c>
      <c r="D7" s="10" t="s">
        <v>102</v>
      </c>
      <c r="E7" s="10" t="s">
        <v>102</v>
      </c>
      <c r="F7" s="10" t="s">
        <v>101</v>
      </c>
      <c r="G7" s="10" t="s">
        <v>100</v>
      </c>
      <c r="H7" s="10" t="s">
        <v>102</v>
      </c>
    </row>
    <row r="8" customFormat="false" ht="15" hidden="false" customHeight="false" outlineLevel="0" collapsed="false">
      <c r="A8" s="11" t="s">
        <v>108</v>
      </c>
      <c r="B8" s="11" t="s">
        <v>100</v>
      </c>
      <c r="C8" s="11" t="s">
        <v>103</v>
      </c>
      <c r="D8" s="11" t="s">
        <v>102</v>
      </c>
      <c r="E8" s="11" t="s">
        <v>101</v>
      </c>
      <c r="F8" s="11" t="s">
        <v>102</v>
      </c>
      <c r="G8" s="11" t="s">
        <v>103</v>
      </c>
      <c r="H8" s="11" t="s">
        <v>103</v>
      </c>
    </row>
    <row r="9" customFormat="false" ht="15" hidden="false" customHeight="false" outlineLevel="0" collapsed="false">
      <c r="A9" s="10" t="s">
        <v>109</v>
      </c>
      <c r="B9" s="10" t="s">
        <v>101</v>
      </c>
      <c r="C9" s="10" t="s">
        <v>103</v>
      </c>
      <c r="D9" s="10" t="s">
        <v>102</v>
      </c>
      <c r="E9" s="10" t="s">
        <v>103</v>
      </c>
      <c r="F9" s="10" t="s">
        <v>102</v>
      </c>
      <c r="G9" s="10" t="s">
        <v>100</v>
      </c>
      <c r="H9" s="10" t="s">
        <v>102</v>
      </c>
    </row>
    <row r="10" customFormat="false" ht="15" hidden="false" customHeight="false" outlineLevel="0" collapsed="false">
      <c r="A10" s="11" t="s">
        <v>110</v>
      </c>
      <c r="B10" s="11" t="s">
        <v>101</v>
      </c>
      <c r="C10" s="11" t="s">
        <v>100</v>
      </c>
      <c r="D10" s="11" t="s">
        <v>102</v>
      </c>
      <c r="E10" s="11" t="s">
        <v>102</v>
      </c>
      <c r="F10" s="11" t="s">
        <v>102</v>
      </c>
      <c r="G10" s="11" t="s">
        <v>100</v>
      </c>
      <c r="H10" s="11" t="s">
        <v>103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32"/>
    <col collapsed="false" customWidth="true" hidden="false" outlineLevel="0" max="6" min="6" style="0" width="22"/>
  </cols>
  <sheetData>
    <row r="1" customFormat="false" ht="21.75" hidden="false" customHeight="true" outlineLevel="0" collapsed="false">
      <c r="A1" s="8" t="s">
        <v>111</v>
      </c>
      <c r="B1" s="8"/>
      <c r="C1" s="8"/>
      <c r="D1" s="8"/>
      <c r="E1" s="8"/>
      <c r="F1" s="8"/>
    </row>
    <row r="2" customFormat="false" ht="30" hidden="false" customHeight="true" outlineLevel="0" collapsed="false">
      <c r="A2" s="9" t="s">
        <v>112</v>
      </c>
      <c r="B2" s="9" t="s">
        <v>113</v>
      </c>
      <c r="C2" s="9" t="s">
        <v>114</v>
      </c>
      <c r="D2" s="9" t="s">
        <v>115</v>
      </c>
      <c r="E2" s="9" t="s">
        <v>116</v>
      </c>
      <c r="F2" s="9" t="s">
        <v>117</v>
      </c>
    </row>
    <row r="3" customFormat="false" ht="23.85" hidden="false" customHeight="false" outlineLevel="0" collapsed="false">
      <c r="A3" s="10" t="s">
        <v>118</v>
      </c>
      <c r="B3" s="10" t="s">
        <v>119</v>
      </c>
      <c r="C3" s="10" t="s">
        <v>120</v>
      </c>
      <c r="D3" s="10" t="s">
        <v>121</v>
      </c>
      <c r="E3" s="10" t="s">
        <v>122</v>
      </c>
      <c r="F3" s="10" t="s">
        <v>123</v>
      </c>
    </row>
    <row r="4" customFormat="false" ht="23.85" hidden="false" customHeight="false" outlineLevel="0" collapsed="false">
      <c r="A4" s="11" t="s">
        <v>23</v>
      </c>
      <c r="B4" s="11" t="s">
        <v>119</v>
      </c>
      <c r="C4" s="11" t="s">
        <v>124</v>
      </c>
      <c r="D4" s="11" t="s">
        <v>121</v>
      </c>
      <c r="E4" s="11" t="s">
        <v>125</v>
      </c>
      <c r="F4" s="11" t="s">
        <v>123</v>
      </c>
    </row>
    <row r="5" customFormat="false" ht="23.85" hidden="false" customHeight="false" outlineLevel="0" collapsed="false">
      <c r="A5" s="10" t="s">
        <v>63</v>
      </c>
      <c r="B5" s="10" t="s">
        <v>119</v>
      </c>
      <c r="C5" s="10" t="s">
        <v>126</v>
      </c>
      <c r="D5" s="10" t="s">
        <v>121</v>
      </c>
      <c r="E5" s="10" t="s">
        <v>127</v>
      </c>
      <c r="F5" s="10" t="s">
        <v>123</v>
      </c>
    </row>
    <row r="6" customFormat="false" ht="23.85" hidden="false" customHeight="false" outlineLevel="0" collapsed="false">
      <c r="A6" s="11" t="s">
        <v>128</v>
      </c>
      <c r="B6" s="11" t="s">
        <v>129</v>
      </c>
      <c r="C6" s="11" t="s">
        <v>130</v>
      </c>
      <c r="D6" s="11" t="s">
        <v>121</v>
      </c>
      <c r="E6" s="11" t="s">
        <v>131</v>
      </c>
      <c r="F6" s="11" t="s">
        <v>123</v>
      </c>
    </row>
    <row r="7" customFormat="false" ht="23.85" hidden="false" customHeight="false" outlineLevel="0" collapsed="false">
      <c r="A7" s="10" t="s">
        <v>132</v>
      </c>
      <c r="B7" s="10" t="s">
        <v>133</v>
      </c>
      <c r="C7" s="10" t="s">
        <v>134</v>
      </c>
      <c r="D7" s="10" t="s">
        <v>135</v>
      </c>
      <c r="E7" s="10" t="s">
        <v>136</v>
      </c>
      <c r="F7" s="10" t="s">
        <v>123</v>
      </c>
    </row>
    <row r="8" customFormat="false" ht="23.85" hidden="false" customHeight="false" outlineLevel="0" collapsed="false">
      <c r="A8" s="11" t="s">
        <v>137</v>
      </c>
      <c r="B8" s="11" t="s">
        <v>138</v>
      </c>
      <c r="C8" s="11" t="s">
        <v>139</v>
      </c>
      <c r="D8" s="11" t="s">
        <v>121</v>
      </c>
      <c r="E8" s="11" t="s">
        <v>140</v>
      </c>
      <c r="F8" s="11" t="s">
        <v>123</v>
      </c>
    </row>
    <row r="9" customFormat="false" ht="23.85" hidden="false" customHeight="false" outlineLevel="0" collapsed="false">
      <c r="A9" s="10" t="s">
        <v>141</v>
      </c>
      <c r="B9" s="10" t="s">
        <v>119</v>
      </c>
      <c r="C9" s="10" t="s">
        <v>142</v>
      </c>
      <c r="D9" s="10" t="s">
        <v>135</v>
      </c>
      <c r="E9" s="10" t="s">
        <v>143</v>
      </c>
      <c r="F9" s="10" t="s">
        <v>123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30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8" t="s">
        <v>144</v>
      </c>
      <c r="B1" s="8"/>
      <c r="C1" s="8"/>
      <c r="D1" s="8"/>
      <c r="E1" s="8"/>
      <c r="F1" s="8"/>
      <c r="G1" s="8"/>
      <c r="H1" s="8"/>
      <c r="I1" s="8"/>
    </row>
    <row r="2" customFormat="false" ht="30" hidden="false" customHeight="true" outlineLevel="0" collapsed="false">
      <c r="A2" s="9" t="s">
        <v>145</v>
      </c>
      <c r="B2" s="9" t="s">
        <v>146</v>
      </c>
      <c r="C2" s="9" t="s">
        <v>147</v>
      </c>
      <c r="D2" s="9" t="s">
        <v>148</v>
      </c>
      <c r="E2" s="9" t="s">
        <v>149</v>
      </c>
      <c r="F2" s="9" t="s">
        <v>150</v>
      </c>
      <c r="G2" s="9" t="s">
        <v>151</v>
      </c>
      <c r="H2" s="9" t="s">
        <v>13</v>
      </c>
      <c r="I2" s="9" t="s">
        <v>18</v>
      </c>
    </row>
    <row r="3" customFormat="false" ht="35.05" hidden="false" customHeight="false" outlineLevel="0" collapsed="false">
      <c r="A3" s="10" t="s">
        <v>152</v>
      </c>
      <c r="B3" s="10" t="s">
        <v>153</v>
      </c>
      <c r="C3" s="10" t="s">
        <v>154</v>
      </c>
      <c r="D3" s="10" t="n">
        <v>2</v>
      </c>
      <c r="E3" s="10" t="n">
        <v>5</v>
      </c>
      <c r="F3" s="19" t="n">
        <f aca="false">D3*E3</f>
        <v>10</v>
      </c>
      <c r="G3" s="10" t="s">
        <v>155</v>
      </c>
      <c r="H3" s="10" t="s">
        <v>156</v>
      </c>
      <c r="I3" s="10" t="s">
        <v>157</v>
      </c>
    </row>
    <row r="4" customFormat="false" ht="23.85" hidden="false" customHeight="false" outlineLevel="0" collapsed="false">
      <c r="A4" s="11" t="s">
        <v>158</v>
      </c>
      <c r="B4" s="11" t="s">
        <v>159</v>
      </c>
      <c r="C4" s="11" t="s">
        <v>31</v>
      </c>
      <c r="D4" s="11" t="n">
        <v>2</v>
      </c>
      <c r="E4" s="11" t="n">
        <v>4</v>
      </c>
      <c r="F4" s="16" t="n">
        <f aca="false">D4*E4</f>
        <v>8</v>
      </c>
      <c r="G4" s="11" t="s">
        <v>160</v>
      </c>
      <c r="H4" s="11" t="s">
        <v>30</v>
      </c>
      <c r="I4" s="11" t="s">
        <v>161</v>
      </c>
    </row>
    <row r="5" customFormat="false" ht="23.85" hidden="false" customHeight="false" outlineLevel="0" collapsed="false">
      <c r="A5" s="10" t="s">
        <v>162</v>
      </c>
      <c r="B5" s="10" t="s">
        <v>163</v>
      </c>
      <c r="C5" s="10" t="s">
        <v>164</v>
      </c>
      <c r="D5" s="10" t="n">
        <v>3</v>
      </c>
      <c r="E5" s="10" t="n">
        <v>2</v>
      </c>
      <c r="F5" s="19" t="n">
        <f aca="false">D5*E5</f>
        <v>6</v>
      </c>
      <c r="G5" s="10" t="s">
        <v>165</v>
      </c>
      <c r="H5" s="10" t="s">
        <v>30</v>
      </c>
      <c r="I5" s="10" t="s">
        <v>166</v>
      </c>
    </row>
    <row r="6" customFormat="false" ht="35.05" hidden="false" customHeight="false" outlineLevel="0" collapsed="false">
      <c r="A6" s="11" t="s">
        <v>167</v>
      </c>
      <c r="B6" s="11" t="s">
        <v>168</v>
      </c>
      <c r="C6" s="11" t="s">
        <v>169</v>
      </c>
      <c r="D6" s="11" t="n">
        <v>3</v>
      </c>
      <c r="E6" s="11" t="n">
        <v>3</v>
      </c>
      <c r="F6" s="16" t="n">
        <f aca="false">D6*E6</f>
        <v>9</v>
      </c>
      <c r="G6" s="11" t="s">
        <v>170</v>
      </c>
      <c r="H6" s="11" t="s">
        <v>63</v>
      </c>
      <c r="I6" s="11" t="s">
        <v>171</v>
      </c>
    </row>
    <row r="7" customFormat="false" ht="23.85" hidden="false" customHeight="false" outlineLevel="0" collapsed="false">
      <c r="A7" s="10" t="s">
        <v>172</v>
      </c>
      <c r="B7" s="10" t="s">
        <v>173</v>
      </c>
      <c r="C7" s="10" t="s">
        <v>174</v>
      </c>
      <c r="D7" s="10" t="n">
        <v>3</v>
      </c>
      <c r="E7" s="10" t="n">
        <v>3</v>
      </c>
      <c r="F7" s="19" t="n">
        <f aca="false">D7*E7</f>
        <v>9</v>
      </c>
      <c r="G7" s="10" t="s">
        <v>175</v>
      </c>
      <c r="H7" s="10" t="s">
        <v>141</v>
      </c>
      <c r="I7" s="10" t="s">
        <v>166</v>
      </c>
    </row>
    <row r="8" customFormat="false" ht="46.25" hidden="false" customHeight="false" outlineLevel="0" collapsed="false">
      <c r="A8" s="11" t="s">
        <v>176</v>
      </c>
      <c r="B8" s="11" t="s">
        <v>177</v>
      </c>
      <c r="C8" s="11" t="s">
        <v>169</v>
      </c>
      <c r="D8" s="11" t="n">
        <v>2</v>
      </c>
      <c r="E8" s="11" t="n">
        <v>5</v>
      </c>
      <c r="F8" s="16" t="n">
        <f aca="false">D8*E8</f>
        <v>10</v>
      </c>
      <c r="G8" s="11" t="s">
        <v>178</v>
      </c>
      <c r="H8" s="11" t="s">
        <v>38</v>
      </c>
      <c r="I8" s="11" t="s">
        <v>166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32"/>
  </cols>
  <sheetData>
    <row r="1" customFormat="false" ht="21.75" hidden="false" customHeight="true" outlineLevel="0" collapsed="false">
      <c r="A1" s="8" t="s">
        <v>179</v>
      </c>
      <c r="B1" s="8"/>
      <c r="C1" s="8"/>
      <c r="D1" s="8"/>
      <c r="E1" s="8"/>
      <c r="F1" s="8"/>
      <c r="G1" s="8"/>
      <c r="H1" s="8"/>
    </row>
    <row r="2" customFormat="false" ht="30" hidden="false" customHeight="true" outlineLevel="0" collapsed="false">
      <c r="A2" s="9" t="s">
        <v>180</v>
      </c>
      <c r="B2" s="9" t="s">
        <v>181</v>
      </c>
      <c r="C2" s="9" t="s">
        <v>146</v>
      </c>
      <c r="D2" s="9" t="s">
        <v>182</v>
      </c>
      <c r="E2" s="9" t="s">
        <v>13</v>
      </c>
      <c r="F2" s="9" t="s">
        <v>183</v>
      </c>
      <c r="G2" s="9" t="s">
        <v>18</v>
      </c>
      <c r="H2" s="9" t="s">
        <v>184</v>
      </c>
    </row>
    <row r="3" customFormat="false" ht="23.85" hidden="false" customHeight="false" outlineLevel="0" collapsed="false">
      <c r="A3" s="10" t="s">
        <v>185</v>
      </c>
      <c r="B3" s="10" t="s">
        <v>186</v>
      </c>
      <c r="C3" s="10" t="s">
        <v>187</v>
      </c>
      <c r="D3" s="10" t="s">
        <v>50</v>
      </c>
      <c r="E3" s="10" t="s">
        <v>30</v>
      </c>
      <c r="F3" s="10" t="s">
        <v>188</v>
      </c>
      <c r="G3" s="10" t="s">
        <v>189</v>
      </c>
      <c r="H3" s="10" t="s">
        <v>190</v>
      </c>
    </row>
    <row r="4" customFormat="false" ht="23.85" hidden="false" customHeight="false" outlineLevel="0" collapsed="false">
      <c r="A4" s="11" t="s">
        <v>191</v>
      </c>
      <c r="B4" s="11" t="s">
        <v>192</v>
      </c>
      <c r="C4" s="11" t="s">
        <v>193</v>
      </c>
      <c r="D4" s="11" t="s">
        <v>50</v>
      </c>
      <c r="E4" s="11" t="s">
        <v>63</v>
      </c>
      <c r="F4" s="11" t="s">
        <v>194</v>
      </c>
      <c r="G4" s="11" t="s">
        <v>195</v>
      </c>
      <c r="H4" s="11" t="s">
        <v>196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21.75" hidden="false" customHeight="true" outlineLevel="0" collapsed="false">
      <c r="A1" s="8" t="s">
        <v>197</v>
      </c>
      <c r="B1" s="8"/>
      <c r="C1" s="8"/>
      <c r="D1" s="8"/>
      <c r="E1" s="8"/>
      <c r="F1" s="8"/>
      <c r="G1" s="8"/>
    </row>
    <row r="2" customFormat="false" ht="30" hidden="false" customHeight="true" outlineLevel="0" collapsed="false">
      <c r="A2" s="9" t="s">
        <v>198</v>
      </c>
      <c r="B2" s="9" t="s">
        <v>199</v>
      </c>
      <c r="C2" s="9" t="s">
        <v>200</v>
      </c>
      <c r="D2" s="9" t="s">
        <v>14</v>
      </c>
      <c r="E2" s="9" t="s">
        <v>15</v>
      </c>
      <c r="F2" s="9" t="s">
        <v>201</v>
      </c>
      <c r="G2" s="9" t="s">
        <v>202</v>
      </c>
    </row>
    <row r="3" customFormat="false" ht="23.85" hidden="false" customHeight="false" outlineLevel="0" collapsed="false">
      <c r="A3" s="10" t="s">
        <v>203</v>
      </c>
      <c r="B3" s="10" t="s">
        <v>204</v>
      </c>
      <c r="C3" s="12" t="n">
        <v>980000</v>
      </c>
      <c r="D3" s="10" t="s">
        <v>34</v>
      </c>
      <c r="E3" s="10" t="s">
        <v>46</v>
      </c>
      <c r="F3" s="10" t="s">
        <v>205</v>
      </c>
      <c r="G3" s="10" t="s">
        <v>206</v>
      </c>
    </row>
    <row r="4" customFormat="false" ht="23.85" hidden="false" customHeight="false" outlineLevel="0" collapsed="false">
      <c r="A4" s="11" t="s">
        <v>207</v>
      </c>
      <c r="B4" s="11" t="s">
        <v>208</v>
      </c>
      <c r="C4" s="14" t="n">
        <v>850000</v>
      </c>
      <c r="D4" s="11" t="s">
        <v>39</v>
      </c>
      <c r="E4" s="11" t="s">
        <v>64</v>
      </c>
      <c r="F4" s="11" t="s">
        <v>205</v>
      </c>
      <c r="G4" s="11" t="s">
        <v>206</v>
      </c>
    </row>
    <row r="5" customFormat="false" ht="23.85" hidden="false" customHeight="false" outlineLevel="0" collapsed="false">
      <c r="A5" s="10" t="s">
        <v>209</v>
      </c>
      <c r="B5" s="10" t="s">
        <v>210</v>
      </c>
      <c r="C5" s="12" t="n">
        <v>268000</v>
      </c>
      <c r="D5" s="10" t="s">
        <v>50</v>
      </c>
      <c r="E5" s="10" t="s">
        <v>64</v>
      </c>
      <c r="F5" s="10" t="s">
        <v>205</v>
      </c>
      <c r="G5" s="10" t="s">
        <v>206</v>
      </c>
    </row>
    <row r="6" customFormat="false" ht="23.85" hidden="false" customHeight="false" outlineLevel="0" collapsed="false">
      <c r="A6" s="11" t="s">
        <v>211</v>
      </c>
      <c r="B6" s="11" t="s">
        <v>212</v>
      </c>
      <c r="C6" s="14" t="n">
        <v>300000</v>
      </c>
      <c r="D6" s="11" t="s">
        <v>39</v>
      </c>
      <c r="E6" s="11" t="s">
        <v>40</v>
      </c>
      <c r="F6" s="11" t="s">
        <v>205</v>
      </c>
      <c r="G6" s="11" t="s">
        <v>206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2026-07-24T16:06:44Z</dcterms:created>
  <dc:creator>openpyxl</dc:creator>
  <dc:description/>
  <dc:language>en-US</dc:language>
  <cp:lastModifiedBy/>
  <dcterms:modified xsi:type="dcterms:W3CDTF">2026-07-24T16:06:44Z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