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WBS_Schedule" sheetId="2" state="visible" r:id="rId4"/>
    <sheet name="Budget_Tracker" sheetId="3" state="visible" r:id="rId5"/>
    <sheet name="Quality_Checklist" sheetId="4" state="visible" r:id="rId6"/>
    <sheet name="RACI_Matrix" sheetId="5" state="visible" r:id="rId7"/>
    <sheet name="Stakeholder_Register" sheetId="6" state="visible" r:id="rId8"/>
    <sheet name="Risk_Register" sheetId="7" state="visible" r:id="rId9"/>
    <sheet name="Issue_Change_Log" sheetId="8" state="visible" r:id="rId10"/>
    <sheet name="Vendor_Contractor_Registe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<sst xmlns="http://schemas.openxmlformats.org/spreadsheetml/2006/main" count="182" uniqueCount="120">
  <si>
    <t xml:space="preserve">[Project Name] — PM Toolkit (Template) — PM Tracking Workbook</t>
  </si>
  <si>
    <t xml:space="preserve">Metro Detroit Airport — IT Center</t>
  </si>
  <si>
    <t xml:space="preserve">This workbook pairs with the Charter/Comms/Training document and the Status &amp; Closeout Report document.</t>
  </si>
  <si>
    <t xml:space="preserve">Each tab below is a fillable PM tracking tool. Replace bracketed [example] rows (shaded yellow) with real entries, then delete the example row.</t>
  </si>
  <si>
    <t xml:space="preserve">Do not edit the navy header rows. Formula cells (Budget Tracker variance/%, Risk Register score) recalculate automatically — do not overtype them.</t>
  </si>
  <si>
    <t xml:space="preserve">Color key:</t>
  </si>
  <si>
    <t xml:space="preserve">    Yellow fill = example row showing expected format — replace/delete before use</t>
  </si>
  <si>
    <t xml:space="preserve">    Light blue fill = alternating row shading (no action needed)</t>
  </si>
  <si>
    <t xml:space="preserve">    Navy header row = column titles (do not edit)</t>
  </si>
  <si>
    <t xml:space="preserve">Work Breakdown Structure &amp; Schedule</t>
  </si>
  <si>
    <t xml:space="preserve">Phase</t>
  </si>
  <si>
    <t xml:space="preserve">WBS ID</t>
  </si>
  <si>
    <t xml:space="preserve">Task / Deliverable</t>
  </si>
  <si>
    <t xml:space="preserve">Owner</t>
  </si>
  <si>
    <t xml:space="preserve">Start Date</t>
  </si>
  <si>
    <t xml:space="preserve">End Date</t>
  </si>
  <si>
    <t xml:space="preserve">Duration (days)</t>
  </si>
  <si>
    <t xml:space="preserve">% Complete</t>
  </si>
  <si>
    <t xml:space="preserve">Status</t>
  </si>
  <si>
    <t xml:space="preserve">Predecessor</t>
  </si>
  <si>
    <t xml:space="preserve">[Phase 1 name]</t>
  </si>
  <si>
    <t xml:space="preserve">1.0</t>
  </si>
  <si>
    <t xml:space="preserve">[Task/deliverable]</t>
  </si>
  <si>
    <t xml:space="preserve">[Owner]</t>
  </si>
  <si>
    <t xml:space="preserve">[mm/dd/yyyy]</t>
  </si>
  <si>
    <t xml:space="preserve">0%</t>
  </si>
  <si>
    <t xml:space="preserve">Not Started</t>
  </si>
  <si>
    <t xml:space="preserve">-</t>
  </si>
  <si>
    <t xml:space="preserve">1.1</t>
  </si>
  <si>
    <t xml:space="preserve">[Phase 2 name]</t>
  </si>
  <si>
    <t xml:space="preserve">2.0</t>
  </si>
  <si>
    <t xml:space="preserve">Budget Tracker</t>
  </si>
  <si>
    <t xml:space="preserve">Cost Category</t>
  </si>
  <si>
    <t xml:space="preserve">Budgeted ($)</t>
  </si>
  <si>
    <t xml:space="preserve">Committed ($)</t>
  </si>
  <si>
    <t xml:space="preserve">Actual to Date ($)</t>
  </si>
  <si>
    <t xml:space="preserve">Variance ($)</t>
  </si>
  <si>
    <t xml:space="preserve">% Used</t>
  </si>
  <si>
    <t xml:space="preserve">Notes</t>
  </si>
  <si>
    <t xml:space="preserve">[Cost category, e.g., Labor]</t>
  </si>
  <si>
    <t xml:space="preserve">[Notes]</t>
  </si>
  <si>
    <t xml:space="preserve">[Cost category, e.g., Materials]</t>
  </si>
  <si>
    <t xml:space="preserve">[Cost category, e.g., Vendor/Contractor]</t>
  </si>
  <si>
    <t xml:space="preserve">Contingency</t>
  </si>
  <si>
    <t xml:space="preserve">TOTAL</t>
  </si>
  <si>
    <t xml:space="preserve">Quality Control Checklist  (deliverable/checkpoint acceptance tracking)</t>
  </si>
  <si>
    <t xml:space="preserve">Checkpoint</t>
  </si>
  <si>
    <t xml:space="preserve">Category</t>
  </si>
  <si>
    <t xml:space="preserve">Acceptance Criteria</t>
  </si>
  <si>
    <t xml:space="preserve">Inspection Method</t>
  </si>
  <si>
    <t xml:space="preserve">Date</t>
  </si>
  <si>
    <t xml:space="preserve">[Checkpoint 1 — e.g., an inspection or acceptance test]</t>
  </si>
  <si>
    <t xml:space="preserve">[Category]</t>
  </si>
  <si>
    <t xml:space="preserve">[Acceptance criteria]</t>
  </si>
  <si>
    <t xml:space="preserve">[Inspection/test method]</t>
  </si>
  <si>
    <t xml:space="preserve">[Checkpoint 2]</t>
  </si>
  <si>
    <t xml:space="preserve">RACI Matrix  (R = Responsible · A = Accountable · C = Consulted · I = Informed)</t>
  </si>
  <si>
    <t xml:space="preserve">[PM]</t>
  </si>
  <si>
    <t xml:space="preserve">[Sponsor]</t>
  </si>
  <si>
    <t xml:space="preserve">[Tech Lead]</t>
  </si>
  <si>
    <t xml:space="preserve">[Vendor]</t>
  </si>
  <si>
    <t xml:space="preserve">[Ops/End User]</t>
  </si>
  <si>
    <t xml:space="preserve">[Task/deliverable 1]</t>
  </si>
  <si>
    <t xml:space="preserve">A</t>
  </si>
  <si>
    <t xml:space="preserve">I</t>
  </si>
  <si>
    <t xml:space="preserve">R</t>
  </si>
  <si>
    <t xml:space="preserve">C</t>
  </si>
  <si>
    <t xml:space="preserve">[Task/deliverable 2]</t>
  </si>
  <si>
    <t xml:space="preserve">Stakeholder Register</t>
  </si>
  <si>
    <t xml:space="preserve">Name / Role</t>
  </si>
  <si>
    <t xml:space="preserve">Organization</t>
  </si>
  <si>
    <t xml:space="preserve">Interest</t>
  </si>
  <si>
    <t xml:space="preserve">Influence (H/M/L)</t>
  </si>
  <si>
    <t xml:space="preserve">Engagement Strategy</t>
  </si>
  <si>
    <t xml:space="preserve">Contact</t>
  </si>
  <si>
    <t xml:space="preserve">[Name / Role]</t>
  </si>
  <si>
    <t xml:space="preserve">[Organization]</t>
  </si>
  <si>
    <t xml:space="preserve">[Why they care]</t>
  </si>
  <si>
    <t xml:space="preserve">H</t>
  </si>
  <si>
    <t xml:space="preserve">[How you will engage them]</t>
  </si>
  <si>
    <t xml:space="preserve">[email/phone]</t>
  </si>
  <si>
    <t xml:space="preserve">M</t>
  </si>
  <si>
    <t xml:space="preserve">Risk Register</t>
  </si>
  <si>
    <t xml:space="preserve">Risk ID</t>
  </si>
  <si>
    <t xml:space="preserve">Description</t>
  </si>
  <si>
    <t xml:space="preserve">Probability (1-5)</t>
  </si>
  <si>
    <t xml:space="preserve">Impact (1-5)</t>
  </si>
  <si>
    <t xml:space="preserve">Score</t>
  </si>
  <si>
    <t xml:space="preserve">Response Strategy</t>
  </si>
  <si>
    <t xml:space="preserve">R1</t>
  </si>
  <si>
    <t xml:space="preserve">[Risk description]</t>
  </si>
  <si>
    <t xml:space="preserve">[Response strategy]</t>
  </si>
  <si>
    <t xml:space="preserve">Open</t>
  </si>
  <si>
    <t xml:space="preserve">R2</t>
  </si>
  <si>
    <t xml:space="preserve">Issue &amp; Change Log</t>
  </si>
  <si>
    <t xml:space="preserve">ID</t>
  </si>
  <si>
    <t xml:space="preserve">Type (Issue/Change)</t>
  </si>
  <si>
    <t xml:space="preserve">Date Raised</t>
  </si>
  <si>
    <t xml:space="preserve">Priority</t>
  </si>
  <si>
    <t xml:space="preserve">Resolution / Decision</t>
  </si>
  <si>
    <t xml:space="preserve">I1</t>
  </si>
  <si>
    <t xml:space="preserve">Issue</t>
  </si>
  <si>
    <t xml:space="preserve">[Issue description]</t>
  </si>
  <si>
    <t xml:space="preserve">High</t>
  </si>
  <si>
    <t xml:space="preserve">[Resolution/decision]</t>
  </si>
  <si>
    <t xml:space="preserve">C1</t>
  </si>
  <si>
    <t xml:space="preserve">Change</t>
  </si>
  <si>
    <t xml:space="preserve">[Change description]</t>
  </si>
  <si>
    <t xml:space="preserve">Medium</t>
  </si>
  <si>
    <t xml:space="preserve">Under Review</t>
  </si>
  <si>
    <t xml:space="preserve">Vendor / Contractor Register</t>
  </si>
  <si>
    <t xml:space="preserve">Vendor / Contractor</t>
  </si>
  <si>
    <t xml:space="preserve">Scope of Work</t>
  </si>
  <si>
    <t xml:space="preserve">Contract Value ($)</t>
  </si>
  <si>
    <t xml:space="preserve">Performance Rating</t>
  </si>
  <si>
    <t xml:space="preserve">Key Contact</t>
  </si>
  <si>
    <t xml:space="preserve">[Vendor/contractor name]</t>
  </si>
  <si>
    <t xml:space="preserve">[Scope of work]</t>
  </si>
  <si>
    <t xml:space="preserve">[Not yet rated]</t>
  </si>
  <si>
    <t xml:space="preserve">[Contact name / email]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</si>
</sst>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11"/>
      <color rgb="FF44546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6000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E2F3"/>
        <bgColor rgb="FFCC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3" t="s">
        <v>3</v>
      </c>
    </row>
    <row r="6" customFormat="false" ht="23.85" hidden="false" customHeight="false" outlineLevel="0" collapsed="false">
      <c r="A6" s="3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6" t="s">
        <v>7</v>
      </c>
    </row>
    <row r="11" customFormat="false" ht="15" hidden="false" customHeight="false" outlineLevel="0" collapsed="false">
      <c r="A11" s="7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10" min="9" style="0" width="12"/>
  </cols>
  <sheetData>
    <row r="1" customFormat="false" ht="21.75" hidden="false" customHeight="true" outlineLevel="0" collapsed="false">
      <c r="A1" s="8" t="s">
        <v>9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30" hidden="false" customHeight="true" outlineLevel="0" collapsed="false">
      <c r="A2" s="9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9" t="s">
        <v>17</v>
      </c>
      <c r="I2" s="9" t="s">
        <v>18</v>
      </c>
      <c r="J2" s="9" t="s">
        <v>19</v>
      </c>
    </row>
    <row r="3" customFormat="false" ht="1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24</v>
      </c>
      <c r="G3" s="10" t="n">
        <v>10</v>
      </c>
      <c r="H3" s="10" t="s">
        <v>25</v>
      </c>
      <c r="I3" s="10" t="s">
        <v>26</v>
      </c>
      <c r="J3" s="10" t="s">
        <v>27</v>
      </c>
    </row>
    <row r="4" customFormat="false" ht="15" hidden="false" customHeight="false" outlineLevel="0" collapsed="false">
      <c r="A4" s="11" t="s">
        <v>20</v>
      </c>
      <c r="B4" s="11" t="s">
        <v>28</v>
      </c>
      <c r="C4" s="11" t="s">
        <v>22</v>
      </c>
      <c r="D4" s="11" t="s">
        <v>23</v>
      </c>
      <c r="E4" s="11" t="s">
        <v>24</v>
      </c>
      <c r="F4" s="11" t="s">
        <v>24</v>
      </c>
      <c r="G4" s="11" t="n">
        <v>5</v>
      </c>
      <c r="H4" s="11" t="s">
        <v>25</v>
      </c>
      <c r="I4" s="11" t="s">
        <v>26</v>
      </c>
      <c r="J4" s="11" t="s">
        <v>21</v>
      </c>
    </row>
    <row r="5" customFormat="false" ht="15" hidden="false" customHeight="false" outlineLevel="0" collapsed="false">
      <c r="A5" s="12" t="s">
        <v>29</v>
      </c>
      <c r="B5" s="12" t="s">
        <v>30</v>
      </c>
      <c r="C5" s="12" t="s">
        <v>22</v>
      </c>
      <c r="D5" s="12" t="s">
        <v>23</v>
      </c>
      <c r="E5" s="12" t="s">
        <v>24</v>
      </c>
      <c r="F5" s="12" t="s">
        <v>24</v>
      </c>
      <c r="G5" s="12" t="n">
        <v>15</v>
      </c>
      <c r="H5" s="12" t="s">
        <v>25</v>
      </c>
      <c r="I5" s="12" t="s">
        <v>26</v>
      </c>
      <c r="J5" s="12" t="s">
        <v>28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30"/>
  </cols>
  <sheetData>
    <row r="1" customFormat="false" ht="21.75" hidden="false" customHeight="true" outlineLevel="0" collapsed="false">
      <c r="A1" s="8" t="s">
        <v>31</v>
      </c>
      <c r="B1" s="8"/>
      <c r="C1" s="8"/>
      <c r="D1" s="8"/>
      <c r="E1" s="8"/>
      <c r="F1" s="8"/>
      <c r="G1" s="8"/>
    </row>
    <row r="2" customFormat="false" ht="30" hidden="false" customHeight="true" outlineLevel="0" collapsed="false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9" t="s">
        <v>37</v>
      </c>
      <c r="G2" s="9" t="s">
        <v>38</v>
      </c>
    </row>
    <row r="3" customFormat="false" ht="15" hidden="false" customHeight="false" outlineLevel="0" collapsed="false">
      <c r="A3" s="10" t="s">
        <v>39</v>
      </c>
      <c r="B3" s="13" t="n">
        <v>100000</v>
      </c>
      <c r="C3" s="13" t="n">
        <v>0</v>
      </c>
      <c r="D3" s="13" t="n">
        <v>0</v>
      </c>
      <c r="E3" s="13" t="n">
        <f aca="false">D3-B3</f>
        <v>-100000</v>
      </c>
      <c r="F3" s="14" t="n">
        <f aca="false">IFERROR(D3/B3,0)</f>
        <v>0</v>
      </c>
      <c r="G3" s="10" t="s">
        <v>40</v>
      </c>
    </row>
    <row r="4" customFormat="false" ht="15" hidden="false" customHeight="false" outlineLevel="0" collapsed="false">
      <c r="A4" s="11" t="s">
        <v>41</v>
      </c>
      <c r="B4" s="15" t="n">
        <v>0</v>
      </c>
      <c r="C4" s="15" t="n">
        <v>0</v>
      </c>
      <c r="D4" s="15" t="n">
        <v>0</v>
      </c>
      <c r="E4" s="15" t="n">
        <f aca="false">D4-B4</f>
        <v>0</v>
      </c>
      <c r="F4" s="16" t="n">
        <f aca="false">IFERROR(D4/B4,0)</f>
        <v>0</v>
      </c>
      <c r="G4" s="11"/>
    </row>
    <row r="5" customFormat="false" ht="23.85" hidden="false" customHeight="false" outlineLevel="0" collapsed="false">
      <c r="A5" s="12" t="s">
        <v>42</v>
      </c>
      <c r="B5" s="17" t="n">
        <v>0</v>
      </c>
      <c r="C5" s="17" t="n">
        <v>0</v>
      </c>
      <c r="D5" s="17" t="n">
        <v>0</v>
      </c>
      <c r="E5" s="17" t="n">
        <f aca="false">D5-B5</f>
        <v>0</v>
      </c>
      <c r="F5" s="18" t="n">
        <f aca="false">IFERROR(D5/B5,0)</f>
        <v>0</v>
      </c>
      <c r="G5" s="12"/>
    </row>
    <row r="6" customFormat="false" ht="15" hidden="false" customHeight="false" outlineLevel="0" collapsed="false">
      <c r="A6" s="11" t="s">
        <v>43</v>
      </c>
      <c r="B6" s="15" t="n">
        <v>0</v>
      </c>
      <c r="C6" s="15" t="n">
        <v>0</v>
      </c>
      <c r="D6" s="15" t="n">
        <v>0</v>
      </c>
      <c r="E6" s="15" t="n">
        <f aca="false">D6-B6</f>
        <v>0</v>
      </c>
      <c r="F6" s="16" t="n">
        <f aca="false">IFERROR(D6/B6,0)</f>
        <v>0</v>
      </c>
      <c r="G6" s="11"/>
    </row>
    <row r="7" customFormat="false" ht="15" hidden="false" customHeight="false" outlineLevel="0" collapsed="false">
      <c r="A7" s="19" t="s">
        <v>44</v>
      </c>
      <c r="B7" s="20" t="n">
        <f aca="false">SUM(B3:B6)</f>
        <v>100000</v>
      </c>
      <c r="C7" s="20" t="n">
        <f aca="false">SUM(C3:C6)</f>
        <v>0</v>
      </c>
      <c r="D7" s="20" t="n">
        <f aca="false">SUM(D3:D6)</f>
        <v>0</v>
      </c>
      <c r="E7" s="20" t="n">
        <f aca="false">D7-B7</f>
        <v>-100000</v>
      </c>
      <c r="F7" s="21" t="n">
        <f aca="false">IFERROR(D7/B7,0)</f>
        <v>0</v>
      </c>
      <c r="G7" s="19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</cols>
  <sheetData>
    <row r="1" customFormat="false" ht="21.75" hidden="false" customHeight="true" outlineLevel="0" collapsed="false">
      <c r="A1" s="8" t="s">
        <v>45</v>
      </c>
      <c r="B1" s="8"/>
      <c r="C1" s="8"/>
      <c r="D1" s="8"/>
      <c r="E1" s="8"/>
      <c r="F1" s="8"/>
      <c r="G1" s="8"/>
    </row>
    <row r="2" customFormat="false" ht="30" hidden="false" customHeight="true" outlineLevel="0" collapsed="false">
      <c r="A2" s="9" t="s">
        <v>46</v>
      </c>
      <c r="B2" s="9" t="s">
        <v>47</v>
      </c>
      <c r="C2" s="9" t="s">
        <v>48</v>
      </c>
      <c r="D2" s="9" t="s">
        <v>49</v>
      </c>
      <c r="E2" s="9" t="s">
        <v>18</v>
      </c>
      <c r="F2" s="9" t="s">
        <v>50</v>
      </c>
      <c r="G2" s="9" t="s">
        <v>13</v>
      </c>
    </row>
    <row r="3" customFormat="false" ht="23.85" hidden="false" customHeight="false" outlineLevel="0" collapsed="false">
      <c r="A3" s="10" t="s">
        <v>51</v>
      </c>
      <c r="B3" s="10" t="s">
        <v>52</v>
      </c>
      <c r="C3" s="10" t="s">
        <v>53</v>
      </c>
      <c r="D3" s="10" t="s">
        <v>54</v>
      </c>
      <c r="E3" s="10" t="s">
        <v>26</v>
      </c>
      <c r="F3" s="10" t="s">
        <v>24</v>
      </c>
      <c r="G3" s="10" t="s">
        <v>23</v>
      </c>
    </row>
    <row r="4" customFormat="false" ht="15" hidden="false" customHeight="false" outlineLevel="0" collapsed="false">
      <c r="A4" s="11" t="s">
        <v>55</v>
      </c>
      <c r="B4" s="11" t="s">
        <v>52</v>
      </c>
      <c r="C4" s="11" t="s">
        <v>53</v>
      </c>
      <c r="D4" s="11" t="s">
        <v>54</v>
      </c>
      <c r="E4" s="11" t="s">
        <v>26</v>
      </c>
      <c r="F4" s="11" t="s">
        <v>24</v>
      </c>
      <c r="G4" s="11" t="s">
        <v>23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8" t="s">
        <v>56</v>
      </c>
      <c r="B1" s="8"/>
      <c r="C1" s="8"/>
      <c r="D1" s="8"/>
      <c r="E1" s="8"/>
      <c r="F1" s="8"/>
    </row>
    <row r="2" customFormat="false" ht="30" hidden="false" customHeight="true" outlineLevel="0" collapsed="false">
      <c r="A2" s="9" t="s">
        <v>12</v>
      </c>
      <c r="B2" s="9" t="s">
        <v>57</v>
      </c>
      <c r="C2" s="9" t="s">
        <v>58</v>
      </c>
      <c r="D2" s="9" t="s">
        <v>59</v>
      </c>
      <c r="E2" s="9" t="s">
        <v>60</v>
      </c>
      <c r="F2" s="9" t="s">
        <v>61</v>
      </c>
    </row>
    <row r="3" customFormat="false" ht="15" hidden="false" customHeight="false" outlineLevel="0" collapsed="false">
      <c r="A3" s="12" t="s">
        <v>62</v>
      </c>
      <c r="B3" s="12" t="s">
        <v>63</v>
      </c>
      <c r="C3" s="12" t="s">
        <v>64</v>
      </c>
      <c r="D3" s="12" t="s">
        <v>65</v>
      </c>
      <c r="E3" s="12" t="s">
        <v>66</v>
      </c>
      <c r="F3" s="12" t="s">
        <v>64</v>
      </c>
    </row>
    <row r="4" customFormat="false" ht="15" hidden="false" customHeight="false" outlineLevel="0" collapsed="false">
      <c r="A4" s="11" t="s">
        <v>67</v>
      </c>
      <c r="B4" s="11" t="s">
        <v>65</v>
      </c>
      <c r="C4" s="11" t="s">
        <v>63</v>
      </c>
      <c r="D4" s="11" t="s">
        <v>66</v>
      </c>
      <c r="E4" s="11" t="s">
        <v>64</v>
      </c>
      <c r="F4" s="11" t="s">
        <v>64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32"/>
    <col collapsed="false" customWidth="true" hidden="false" outlineLevel="0" max="6" min="6" style="0" width="22"/>
  </cols>
  <sheetData>
    <row r="1" customFormat="false" ht="21.75" hidden="false" customHeight="true" outlineLevel="0" collapsed="false">
      <c r="A1" s="8" t="s">
        <v>68</v>
      </c>
      <c r="B1" s="8"/>
      <c r="C1" s="8"/>
      <c r="D1" s="8"/>
      <c r="E1" s="8"/>
      <c r="F1" s="8"/>
    </row>
    <row r="2" customFormat="false" ht="30" hidden="false" customHeight="true" outlineLevel="0" collapsed="false">
      <c r="A2" s="9" t="s">
        <v>69</v>
      </c>
      <c r="B2" s="9" t="s">
        <v>70</v>
      </c>
      <c r="C2" s="9" t="s">
        <v>71</v>
      </c>
      <c r="D2" s="9" t="s">
        <v>72</v>
      </c>
      <c r="E2" s="9" t="s">
        <v>73</v>
      </c>
      <c r="F2" s="9" t="s">
        <v>74</v>
      </c>
    </row>
    <row r="3" customFormat="false" ht="15" hidden="false" customHeight="false" outlineLevel="0" collapsed="false">
      <c r="A3" s="10" t="s">
        <v>75</v>
      </c>
      <c r="B3" s="10" t="s">
        <v>76</v>
      </c>
      <c r="C3" s="10" t="s">
        <v>77</v>
      </c>
      <c r="D3" s="10" t="s">
        <v>78</v>
      </c>
      <c r="E3" s="10" t="s">
        <v>79</v>
      </c>
      <c r="F3" s="10" t="s">
        <v>80</v>
      </c>
    </row>
    <row r="4" customFormat="false" ht="15" hidden="false" customHeight="false" outlineLevel="0" collapsed="false">
      <c r="A4" s="11" t="s">
        <v>75</v>
      </c>
      <c r="B4" s="11" t="s">
        <v>76</v>
      </c>
      <c r="C4" s="11" t="s">
        <v>77</v>
      </c>
      <c r="D4" s="11" t="s">
        <v>81</v>
      </c>
      <c r="E4" s="11" t="s">
        <v>79</v>
      </c>
      <c r="F4" s="11" t="s">
        <v>80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8" t="s">
        <v>82</v>
      </c>
      <c r="B1" s="8"/>
      <c r="C1" s="8"/>
      <c r="D1" s="8"/>
      <c r="E1" s="8"/>
      <c r="F1" s="8"/>
      <c r="G1" s="8"/>
      <c r="H1" s="8"/>
      <c r="I1" s="8"/>
    </row>
    <row r="2" customFormat="false" ht="30" hidden="false" customHeight="true" outlineLevel="0" collapsed="false">
      <c r="A2" s="9" t="s">
        <v>83</v>
      </c>
      <c r="B2" s="9" t="s">
        <v>84</v>
      </c>
      <c r="C2" s="9" t="s">
        <v>47</v>
      </c>
      <c r="D2" s="9" t="s">
        <v>85</v>
      </c>
      <c r="E2" s="9" t="s">
        <v>86</v>
      </c>
      <c r="F2" s="9" t="s">
        <v>87</v>
      </c>
      <c r="G2" s="9" t="s">
        <v>88</v>
      </c>
      <c r="H2" s="9" t="s">
        <v>13</v>
      </c>
      <c r="I2" s="9" t="s">
        <v>18</v>
      </c>
    </row>
    <row r="3" customFormat="false" ht="15" hidden="false" customHeight="false" outlineLevel="0" collapsed="false">
      <c r="A3" s="10" t="s">
        <v>89</v>
      </c>
      <c r="B3" s="10" t="s">
        <v>90</v>
      </c>
      <c r="C3" s="10" t="s">
        <v>52</v>
      </c>
      <c r="D3" s="10" t="n">
        <v>3</v>
      </c>
      <c r="E3" s="10" t="n">
        <v>4</v>
      </c>
      <c r="F3" s="22" t="n">
        <f aca="false">D3*E3</f>
        <v>12</v>
      </c>
      <c r="G3" s="10" t="s">
        <v>91</v>
      </c>
      <c r="H3" s="10" t="s">
        <v>23</v>
      </c>
      <c r="I3" s="10" t="s">
        <v>92</v>
      </c>
    </row>
    <row r="4" customFormat="false" ht="15" hidden="false" customHeight="false" outlineLevel="0" collapsed="false">
      <c r="A4" s="11" t="s">
        <v>93</v>
      </c>
      <c r="B4" s="11" t="s">
        <v>90</v>
      </c>
      <c r="C4" s="11" t="s">
        <v>52</v>
      </c>
      <c r="D4" s="11" t="n">
        <v>2</v>
      </c>
      <c r="E4" s="11" t="n">
        <v>3</v>
      </c>
      <c r="F4" s="19" t="n">
        <f aca="false">D4*E4</f>
        <v>6</v>
      </c>
      <c r="G4" s="11" t="s">
        <v>91</v>
      </c>
      <c r="H4" s="11" t="s">
        <v>23</v>
      </c>
      <c r="I4" s="11" t="s">
        <v>92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32"/>
  </cols>
  <sheetData>
    <row r="1" customFormat="false" ht="21.75" hidden="false" customHeight="true" outlineLevel="0" collapsed="false">
      <c r="A1" s="8" t="s">
        <v>94</v>
      </c>
      <c r="B1" s="8"/>
      <c r="C1" s="8"/>
      <c r="D1" s="8"/>
      <c r="E1" s="8"/>
      <c r="F1" s="8"/>
      <c r="G1" s="8"/>
      <c r="H1" s="8"/>
    </row>
    <row r="2" customFormat="false" ht="30" hidden="false" customHeight="true" outlineLevel="0" collapsed="false">
      <c r="A2" s="9" t="s">
        <v>95</v>
      </c>
      <c r="B2" s="9" t="s">
        <v>96</v>
      </c>
      <c r="C2" s="9" t="s">
        <v>84</v>
      </c>
      <c r="D2" s="9" t="s">
        <v>97</v>
      </c>
      <c r="E2" s="9" t="s">
        <v>13</v>
      </c>
      <c r="F2" s="9" t="s">
        <v>98</v>
      </c>
      <c r="G2" s="9" t="s">
        <v>18</v>
      </c>
      <c r="H2" s="9" t="s">
        <v>99</v>
      </c>
    </row>
    <row r="3" customFormat="false" ht="15" hidden="false" customHeight="false" outlineLevel="0" collapsed="false">
      <c r="A3" s="10" t="s">
        <v>100</v>
      </c>
      <c r="B3" s="10" t="s">
        <v>101</v>
      </c>
      <c r="C3" s="10" t="s">
        <v>102</v>
      </c>
      <c r="D3" s="10" t="s">
        <v>24</v>
      </c>
      <c r="E3" s="10" t="s">
        <v>23</v>
      </c>
      <c r="F3" s="10" t="s">
        <v>103</v>
      </c>
      <c r="G3" s="10" t="s">
        <v>92</v>
      </c>
      <c r="H3" s="10" t="s">
        <v>104</v>
      </c>
    </row>
    <row r="4" customFormat="false" ht="15" hidden="false" customHeight="false" outlineLevel="0" collapsed="false">
      <c r="A4" s="11" t="s">
        <v>105</v>
      </c>
      <c r="B4" s="11" t="s">
        <v>106</v>
      </c>
      <c r="C4" s="11" t="s">
        <v>107</v>
      </c>
      <c r="D4" s="11" t="s">
        <v>24</v>
      </c>
      <c r="E4" s="11" t="s">
        <v>23</v>
      </c>
      <c r="F4" s="11" t="s">
        <v>108</v>
      </c>
      <c r="G4" s="11" t="s">
        <v>109</v>
      </c>
      <c r="H4" s="11" t="s">
        <v>104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22"/>
  </cols>
  <sheetData>
    <row r="1" customFormat="false" ht="21.75" hidden="false" customHeight="true" outlineLevel="0" collapsed="false">
      <c r="A1" s="8" t="s">
        <v>110</v>
      </c>
      <c r="B1" s="8"/>
      <c r="C1" s="8"/>
      <c r="D1" s="8"/>
      <c r="E1" s="8"/>
      <c r="F1" s="8"/>
      <c r="G1" s="8"/>
    </row>
    <row r="2" customFormat="false" ht="30" hidden="false" customHeight="true" outlineLevel="0" collapsed="false">
      <c r="A2" s="9" t="s">
        <v>111</v>
      </c>
      <c r="B2" s="9" t="s">
        <v>112</v>
      </c>
      <c r="C2" s="9" t="s">
        <v>113</v>
      </c>
      <c r="D2" s="9" t="s">
        <v>14</v>
      </c>
      <c r="E2" s="9" t="s">
        <v>15</v>
      </c>
      <c r="F2" s="9" t="s">
        <v>114</v>
      </c>
      <c r="G2" s="9" t="s">
        <v>115</v>
      </c>
    </row>
    <row r="3" customFormat="false" ht="15" hidden="false" customHeight="false" outlineLevel="0" collapsed="false">
      <c r="A3" s="10" t="s">
        <v>116</v>
      </c>
      <c r="B3" s="10" t="s">
        <v>117</v>
      </c>
      <c r="C3" s="13" t="n">
        <v>0</v>
      </c>
      <c r="D3" s="10" t="s">
        <v>24</v>
      </c>
      <c r="E3" s="10" t="s">
        <v>24</v>
      </c>
      <c r="F3" s="10" t="s">
        <v>118</v>
      </c>
      <c r="G3" s="10" t="s">
        <v>119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2026-07-24T16:52:04Z</dcterms:created>
  <dc:creator>openpyxl</dc:creator>
  <dc:description/>
  <dc:language>en-US</dc:language>
  <cp:lastModifiedBy/>
  <dcterms:modified xsi:type="dcterms:W3CDTF">2026-07-24T16:52:04Z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